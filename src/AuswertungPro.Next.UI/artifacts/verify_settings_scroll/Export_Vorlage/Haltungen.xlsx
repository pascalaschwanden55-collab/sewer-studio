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asca\Desktop\AuswertungPro\Export_Vorlage\"/>
    </mc:Choice>
  </mc:AlternateContent>
  <xr:revisionPtr revIDLastSave="0" documentId="13_ncr:1_{D893AEEC-B985-45CA-A950-E78320C68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ltungen" sheetId="1" r:id="rId1"/>
  </sheets>
  <definedNames>
    <definedName name="_xlnm._FilterDatabase" localSheetId="0" hidden="1">Haltungen!$A$11:$Y$60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S9" i="1" l="1"/>
  <c r="Q7" i="1"/>
  <c r="Y8" i="1"/>
  <c r="W9" i="1"/>
  <c r="V9" i="1"/>
  <c r="U9" i="1"/>
  <c r="T9" i="1"/>
  <c r="R9" i="1"/>
  <c r="G9" i="1"/>
  <c r="E5" i="1" l="1"/>
  <c r="E4" i="1"/>
  <c r="E3" i="1"/>
  <c r="E2" i="1"/>
  <c r="E9" i="1"/>
  <c r="E8" i="1"/>
  <c r="E7" i="1"/>
  <c r="E6" i="1"/>
  <c r="A2" i="1" l="1"/>
  <c r="Y9" i="1"/>
  <c r="I4" i="1" l="1"/>
  <c r="L4" i="1" l="1"/>
  <c r="A3" i="1" s="1"/>
  <c r="N9" i="1" l="1"/>
  <c r="N7" i="1" l="1"/>
  <c r="A6" i="1" s="1"/>
  <c r="L8" i="1"/>
  <c r="L6" i="1"/>
  <c r="L5" i="1"/>
  <c r="L7" i="1"/>
  <c r="A5" i="1" l="1"/>
  <c r="I9" i="1"/>
  <c r="I8" i="1"/>
  <c r="I7" i="1"/>
  <c r="I6" i="1"/>
  <c r="I5" i="1"/>
  <c r="A4" i="1" l="1"/>
</calcChain>
</file>

<file path=xl/sharedStrings.xml><?xml version="1.0" encoding="utf-8"?>
<sst xmlns="http://schemas.openxmlformats.org/spreadsheetml/2006/main" count="57" uniqueCount="55">
  <si>
    <t>Strasse</t>
  </si>
  <si>
    <t>Sanieren Ja/Nein</t>
  </si>
  <si>
    <t>Bemerkungen</t>
  </si>
  <si>
    <t xml:space="preserve">Prüfungsresultat </t>
  </si>
  <si>
    <t>Prüfung bestanden</t>
  </si>
  <si>
    <t>Prüfung knapp nicht bestanden</t>
  </si>
  <si>
    <t>Link</t>
  </si>
  <si>
    <t>Kosten</t>
  </si>
  <si>
    <t>Haltungsnahme (ID)</t>
  </si>
  <si>
    <t>NR.</t>
  </si>
  <si>
    <t>Primäre Schäden</t>
  </si>
  <si>
    <t>Rohrmaterial</t>
  </si>
  <si>
    <t>Nutzungsart</t>
  </si>
  <si>
    <t>Nein</t>
  </si>
  <si>
    <t>PVC</t>
  </si>
  <si>
    <t>Ja</t>
  </si>
  <si>
    <t>DN mm</t>
  </si>
  <si>
    <t>Eigentümer</t>
  </si>
  <si>
    <t>Bund</t>
  </si>
  <si>
    <t>Privat</t>
  </si>
  <si>
    <t>Keine</t>
  </si>
  <si>
    <t>HDPE</t>
  </si>
  <si>
    <t>Baumeister</t>
  </si>
  <si>
    <t>Prüfung nicht bestanden (grob undicht)</t>
  </si>
  <si>
    <t>Zustandsklasse</t>
  </si>
  <si>
    <t>AWU</t>
  </si>
  <si>
    <t>Gemeinde</t>
  </si>
  <si>
    <t>m</t>
  </si>
  <si>
    <t>Nr.</t>
  </si>
  <si>
    <t>Sanierer</t>
  </si>
  <si>
    <t>Renovierung Inliner Stk.</t>
  </si>
  <si>
    <t>Reparatur Manschette</t>
  </si>
  <si>
    <t>Erneuerung Neubau m</t>
  </si>
  <si>
    <t>PE</t>
  </si>
  <si>
    <t>Beton_u</t>
  </si>
  <si>
    <t>Ausmass</t>
  </si>
  <si>
    <t>offen</t>
  </si>
  <si>
    <t>abgeschlossen</t>
  </si>
  <si>
    <t>Reparatur Kurzliner</t>
  </si>
  <si>
    <t>Empfohlene Sanierungsmassnahmen</t>
  </si>
  <si>
    <t>STZ</t>
  </si>
  <si>
    <t>PP</t>
  </si>
  <si>
    <t>Status</t>
  </si>
  <si>
    <t>Datum/Jahr</t>
  </si>
  <si>
    <t>offen/abgeschlossen</t>
  </si>
  <si>
    <t>Sanierungsmassnahmen</t>
  </si>
  <si>
    <t>Abwasser Uri</t>
  </si>
  <si>
    <t>Anschlüsse verpressen</t>
  </si>
  <si>
    <t>SBR</t>
  </si>
  <si>
    <t>OB</t>
  </si>
  <si>
    <t>NBR</t>
  </si>
  <si>
    <t>Kanton</t>
  </si>
  <si>
    <t>Auswertung Seitenanschlüsse Klausenstrasse Private/ Aufnahmen 2025 Haltungen</t>
  </si>
  <si>
    <t>Haltungslänge m</t>
  </si>
  <si>
    <t>Inspektionsrichtung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</si>
</sst>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u/>
      <sz val="8"/>
      <color theme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EB1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/>
    <xf numFmtId="2" fontId="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11" xfId="0" applyFont="1" applyBorder="1"/>
    <xf numFmtId="0" fontId="9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2" xfId="0" applyFont="1" applyBorder="1" applyAlignment="1">
      <alignment horizontal="center" wrapText="1"/>
    </xf>
    <xf numFmtId="2" fontId="6" fillId="0" borderId="12" xfId="0" applyNumberFormat="1" applyFont="1" applyBorder="1" applyAlignment="1">
      <alignment horizontal="right" vertical="center"/>
    </xf>
    <xf numFmtId="0" fontId="9" fillId="0" borderId="15" xfId="0" applyFont="1" applyBorder="1"/>
    <xf numFmtId="0" fontId="5" fillId="11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0" fontId="6" fillId="7" borderId="9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2" fontId="5" fillId="3" borderId="22" xfId="0" applyNumberFormat="1" applyFont="1" applyFill="1" applyBorder="1" applyAlignment="1">
      <alignment horizontal="center" vertical="center" wrapText="1"/>
    </xf>
    <xf numFmtId="0" fontId="5" fillId="20" borderId="25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vertical="top"/>
    </xf>
    <xf numFmtId="0" fontId="6" fillId="7" borderId="5" xfId="0" applyFont="1" applyFill="1" applyBorder="1" applyAlignment="1">
      <alignment horizontal="center" vertical="center" wrapText="1"/>
    </xf>
    <xf numFmtId="0" fontId="5" fillId="17" borderId="14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2" borderId="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0" fillId="0" borderId="15" xfId="0" applyBorder="1"/>
    <xf numFmtId="2" fontId="6" fillId="0" borderId="0" xfId="0" applyNumberFormat="1" applyFont="1" applyAlignment="1">
      <alignment horizontal="left" vertical="center"/>
    </xf>
    <xf numFmtId="2" fontId="5" fillId="20" borderId="25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7" fillId="3" borderId="2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4" fontId="4" fillId="0" borderId="1" xfId="0" applyNumberFormat="1" applyFont="1" applyBorder="1" applyAlignment="1">
      <alignment horizontal="right" vertical="center" wrapText="1"/>
    </xf>
    <xf numFmtId="0" fontId="6" fillId="0" borderId="18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8" xfId="1" applyFont="1" applyFill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0" fillId="0" borderId="1" xfId="0" applyBorder="1"/>
    <xf numFmtId="0" fontId="14" fillId="0" borderId="1" xfId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6600"/>
      <color rgb="FFAEB135"/>
      <color rgb="FFFF0000"/>
      <color rgb="FF77925E"/>
      <color rgb="FF6EFE26"/>
      <color rgb="FFA5A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Zustandsklassen </a:t>
            </a:r>
          </a:p>
        </c:rich>
      </c:tx>
      <c:layout>
        <c:manualLayout>
          <c:xMode val="edge"/>
          <c:yMode val="edge"/>
          <c:x val="0.30861989333346052"/>
          <c:y val="5.96738051260268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9323398714424489"/>
          <c:y val="0.24056158309038037"/>
          <c:w val="0.56033689519045948"/>
          <c:h val="0.6266032700769607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B00-46D0-B685-EE9025A5EC72}"/>
              </c:ext>
            </c:extLst>
          </c:dPt>
          <c:dPt>
            <c:idx val="1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AB-4AE2-BC89-35AF3DF5F1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AB-4AE2-BC89-35AF3DF5F181}"/>
              </c:ext>
            </c:extLst>
          </c:dPt>
          <c:dPt>
            <c:idx val="3"/>
            <c:bubble3D val="0"/>
            <c:spPr>
              <a:solidFill>
                <a:srgbClr val="A5A83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AB-4AE2-BC89-35AF3DF5F181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FAB-4AE2-BC89-35AF3DF5F18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B00-46D0-B685-EE9025A5EC72}"/>
                </c:ext>
              </c:extLst>
            </c:dLbl>
            <c:dLbl>
              <c:idx val="1"/>
              <c:layout>
                <c:manualLayout>
                  <c:x val="6.943119834710744E-2"/>
                  <c:y val="3.02480405819104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AB-4AE2-BC89-35AF3DF5F181}"/>
                </c:ext>
              </c:extLst>
            </c:dLbl>
            <c:dLbl>
              <c:idx val="2"/>
              <c:layout>
                <c:manualLayout>
                  <c:x val="-3.6735537190082643E-2"/>
                  <c:y val="-2.978029213730107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AB-4AE2-BC89-35AF3DF5F18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AB-4AE2-BC89-35AF3DF5F181}"/>
                </c:ext>
              </c:extLst>
            </c:dLbl>
            <c:dLbl>
              <c:idx val="4"/>
              <c:layout>
                <c:manualLayout>
                  <c:x val="6.775743801652892E-2"/>
                  <c:y val="-1.13446313283409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AB-4AE2-BC89-35AF3DF5F1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Haltungen!$I$5:$I$9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0-46D0-B685-EE9025A5EC7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3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dist="50800" dir="6000000" sx="1000" sy="1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Dichtheitsprüfungsresultat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1609097692820242"/>
          <c:y val="0.21923498039095998"/>
          <c:w val="0.54868789166327159"/>
          <c:h val="0.65332360621623775"/>
        </c:manualLayout>
      </c:layout>
      <c:pieChart>
        <c:varyColors val="1"/>
        <c:ser>
          <c:idx val="0"/>
          <c:order val="0"/>
          <c:spPr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53B-4554-8286-9EAF2A51160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3B-4554-8286-9EAF2A5116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53B-4554-8286-9EAF2A51160E}"/>
              </c:ext>
            </c:extLst>
          </c:dPt>
          <c:dPt>
            <c:idx val="3"/>
            <c:bubble3D val="0"/>
            <c:spPr>
              <a:solidFill>
                <a:sysClr val="window" lastClr="FFFFFF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3B-4554-8286-9EAF2A51160E}"/>
              </c:ext>
            </c:extLst>
          </c:dPt>
          <c:dLbls>
            <c:dLbl>
              <c:idx val="0"/>
              <c:layout>
                <c:manualLayout>
                  <c:x val="0.10406482861400884"/>
                  <c:y val="6.0050542818371772E-2"/>
                </c:manualLayout>
              </c:layout>
              <c:tx>
                <c:rich>
                  <a:bodyPr/>
                  <a:lstStyle/>
                  <a:p>
                    <a:fld id="{9EB4A293-8085-4ED9-86AA-574AC64D48C4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[WERT]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00C7C094-99B0-4713-A7C7-B9475B1A3F05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[PROZENTSATZ]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853B-4554-8286-9EAF2A51160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3B-4554-8286-9EAF2A51160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3B-4554-8286-9EAF2A51160E}"/>
                </c:ext>
              </c:extLst>
            </c:dLbl>
            <c:dLbl>
              <c:idx val="3"/>
              <c:layout>
                <c:manualLayout>
                  <c:x val="-4.3496439807915212E-2"/>
                  <c:y val="-9.71766937146090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D04384-74FD-41E6-A585-3FC877151405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[WERT]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2D404809-7F57-4E10-B4B8-D138A336FACC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[PROZENTSATZ]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33399569465143"/>
                      <c:h val="8.221179317454087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853B-4554-8286-9EAF2A5116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Haltungen!$L$5:$L$8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B-4554-8286-9EAF2A5116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Sanieren Ja/Nein</a:t>
            </a:r>
          </a:p>
        </c:rich>
      </c:tx>
      <c:layout>
        <c:manualLayout>
          <c:xMode val="edge"/>
          <c:yMode val="edge"/>
          <c:x val="0.32877726433562871"/>
          <c:y val="1.173154890624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1459250394431173"/>
          <c:y val="0.23051641931492334"/>
          <c:w val="0.55987651509190961"/>
          <c:h val="0.62611095263146188"/>
        </c:manualLayout>
      </c:layout>
      <c:pie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E0C-40B6-B3AD-49E2E459850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E0C-40B6-B3AD-49E2E4598503}"/>
              </c:ext>
            </c:extLst>
          </c:dPt>
          <c:dLbls>
            <c:dLbl>
              <c:idx val="0"/>
              <c:layout>
                <c:manualLayout>
                  <c:x val="-5.3970071481615173E-2"/>
                  <c:y val="-2.524736783252456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E0C-40B6-B3AD-49E2E4598503}"/>
                </c:ext>
              </c:extLst>
            </c:dLbl>
            <c:dLbl>
              <c:idx val="1"/>
              <c:layout>
                <c:manualLayout>
                  <c:x val="0.23899142222209283"/>
                  <c:y val="0.143102653512384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40271733053954"/>
                      <c:h val="0.10568591021242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9E0C-40B6-B3AD-49E2E45985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1</c:v>
              </c:pt>
              <c:pt idx="1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Haltungen!$I$4:$L$4</c15:sqref>
                  </c15:fullRef>
                </c:ext>
              </c:extLst>
              <c:f>(Haltungen!$I$4,Haltungen!$L$4)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E-9E0C-40B6-B3AD-49E2E459850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Rohrmaterial</a:t>
            </a:r>
          </a:p>
        </c:rich>
      </c:tx>
      <c:layout>
        <c:manualLayout>
          <c:xMode val="edge"/>
          <c:yMode val="edge"/>
          <c:x val="0.34509126984126987"/>
          <c:y val="7.79484255750801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0552103174603176"/>
          <c:y val="0.20094487707990499"/>
          <c:w val="0.56899047619047616"/>
          <c:h val="0.6635408317583839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76-40A5-939E-9E484954AB9F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76-40A5-939E-9E484954AB9F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E76-40A5-939E-9E484954AB9F}"/>
              </c:ext>
            </c:extLst>
          </c:dPt>
          <c:dPt>
            <c:idx val="3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E76-40A5-939E-9E484954AB9F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76-40A5-939E-9E484954AB9F}"/>
              </c:ext>
            </c:extLst>
          </c:dPt>
          <c:dPt>
            <c:idx val="5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E76-40A5-939E-9E484954AB9F}"/>
              </c:ext>
            </c:extLst>
          </c:dPt>
          <c:dPt>
            <c:idx val="6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76-40A5-939E-9E484954AB9F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E76-40A5-939E-9E484954AB9F}"/>
              </c:ext>
            </c:extLst>
          </c:dPt>
          <c:dLbls>
            <c:dLbl>
              <c:idx val="0"/>
              <c:layout>
                <c:manualLayout>
                  <c:x val="4.0739110971416512E-2"/>
                  <c:y val="3.16876955898328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76-40A5-939E-9E484954AB9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76-40A5-939E-9E484954AB9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76-40A5-939E-9E484954AB9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76-40A5-939E-9E484954AB9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76-40A5-939E-9E484954AB9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76-40A5-939E-9E484954AB9F}"/>
                </c:ext>
              </c:extLst>
            </c:dLbl>
            <c:dLbl>
              <c:idx val="6"/>
              <c:layout>
                <c:manualLayout>
                  <c:x val="-5.44083619549348E-3"/>
                  <c:y val="-6.59259259259259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6732791778326"/>
                      <c:h val="8.81625000000000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E76-40A5-939E-9E484954AB9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76-40A5-939E-9E484954AB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Haltungen!$E$2:$E$9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6-40A5-939E-9E484954AB9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0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Eigentum</a:t>
            </a:r>
          </a:p>
        </c:rich>
      </c:tx>
      <c:layout>
        <c:manualLayout>
          <c:xMode val="edge"/>
          <c:yMode val="edge"/>
          <c:x val="0.428763779527559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1084217640129307"/>
          <c:y val="0.24668542047762523"/>
          <c:w val="0.59481005605215664"/>
          <c:h val="0.63577547810417756"/>
        </c:manualLayout>
      </c:layout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FB9D-4DB0-B305-C2D967B3082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B9D-4DB0-B305-C2D967B3082D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B9D-4DB0-B305-C2D967B3082D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FB9D-4DB0-B305-C2D967B3082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78-4336-BDE1-8B1F0B81C99B}"/>
              </c:ext>
            </c:extLst>
          </c:dPt>
          <c:dLbls>
            <c:dLbl>
              <c:idx val="0"/>
              <c:layout>
                <c:manualLayout>
                  <c:x val="4.5279563215505454E-3"/>
                  <c:y val="-7.51766033183230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5EA99A-2EED-43BD-AEF5-78AD96779BEE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[WERT]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B8E057C8-D7B6-4C1E-AEE6-389A5DB8458F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[PROZENTSATZ]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21421068972579"/>
                      <c:h val="0.129171456255754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FB9D-4DB0-B305-C2D967B3082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B9D-4DB0-B305-C2D967B3082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B9D-4DB0-B305-C2D967B3082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B9D-4DB0-B305-C2D967B3082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78-4336-BDE1-8B1F0B81C9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Haltungen!$N$5:$N$9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D-4DB0-B305-C2D967B308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24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000"/>
              <a:t>Sanierungsstatus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4868166481227702"/>
          <c:y val="0.21513647019890944"/>
          <c:w val="0.56476221569267604"/>
          <c:h val="0.639192909982282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E2-4017-B811-F8288744F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E2-4017-B811-F8288744FB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Haltungen!$Y$8:$Y$9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2-4017-B811-F8288744FB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731587</xdr:colOff>
      <xdr:row>0</xdr:row>
      <xdr:rowOff>39229</xdr:rowOff>
    </xdr:from>
    <xdr:to>
      <xdr:col>10</xdr:col>
      <xdr:colOff>538165</xdr:colOff>
      <xdr:row>1</xdr:row>
      <xdr:rowOff>335642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394054</xdr:colOff>
      <xdr:row>0</xdr:row>
      <xdr:rowOff>1368213</xdr:rowOff>
    </xdr:from>
    <xdr:ext cx="249684" cy="337206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87898" y="1368213"/>
          <a:ext cx="249684" cy="3372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1000"/>
            <a:t>4</a:t>
          </a:r>
        </a:p>
      </xdr:txBody>
    </xdr:sp>
    <xdr:clientData/>
  </xdr:oneCellAnchor>
  <xdr:oneCellAnchor>
    <xdr:from>
      <xdr:col>15</xdr:col>
      <xdr:colOff>1736077</xdr:colOff>
      <xdr:row>0</xdr:row>
      <xdr:rowOff>1044535</xdr:rowOff>
    </xdr:from>
    <xdr:ext cx="455189" cy="248851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3950058" y="1044535"/>
          <a:ext cx="45518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000"/>
            <a:t>AWU</a:t>
          </a:r>
        </a:p>
      </xdr:txBody>
    </xdr:sp>
    <xdr:clientData/>
  </xdr:oneCellAnchor>
  <xdr:twoCellAnchor>
    <xdr:from>
      <xdr:col>16</xdr:col>
      <xdr:colOff>799449</xdr:colOff>
      <xdr:row>0</xdr:row>
      <xdr:rowOff>38373</xdr:rowOff>
    </xdr:from>
    <xdr:to>
      <xdr:col>16</xdr:col>
      <xdr:colOff>3215049</xdr:colOff>
      <xdr:row>1</xdr:row>
      <xdr:rowOff>326991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565952</xdr:colOff>
      <xdr:row>0</xdr:row>
      <xdr:rowOff>38353</xdr:rowOff>
    </xdr:from>
    <xdr:to>
      <xdr:col>12</xdr:col>
      <xdr:colOff>1481670</xdr:colOff>
      <xdr:row>1</xdr:row>
      <xdr:rowOff>334174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446335</xdr:colOff>
      <xdr:row>0</xdr:row>
      <xdr:rowOff>1438375</xdr:rowOff>
    </xdr:from>
    <xdr:to>
      <xdr:col>12</xdr:col>
      <xdr:colOff>968111</xdr:colOff>
      <xdr:row>0</xdr:row>
      <xdr:rowOff>1678572</xdr:rowOff>
    </xdr:to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0608777" y="1438375"/>
          <a:ext cx="521776" cy="240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000"/>
            <a:t>Nein</a:t>
          </a:r>
        </a:p>
      </xdr:txBody>
    </xdr:sp>
    <xdr:clientData/>
  </xdr:twoCellAnchor>
  <xdr:twoCellAnchor>
    <xdr:from>
      <xdr:col>13</xdr:col>
      <xdr:colOff>552806</xdr:colOff>
      <xdr:row>0</xdr:row>
      <xdr:rowOff>909824</xdr:rowOff>
    </xdr:from>
    <xdr:to>
      <xdr:col>14</xdr:col>
      <xdr:colOff>465910</xdr:colOff>
      <xdr:row>0</xdr:row>
      <xdr:rowOff>1153267</xdr:rowOff>
    </xdr:to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1520163" y="909824"/>
          <a:ext cx="498211" cy="243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de-CH" sz="1000"/>
        </a:p>
      </xdr:txBody>
    </xdr:sp>
    <xdr:clientData/>
  </xdr:twoCellAnchor>
  <xdr:twoCellAnchor>
    <xdr:from>
      <xdr:col>12</xdr:col>
      <xdr:colOff>1506425</xdr:colOff>
      <xdr:row>0</xdr:row>
      <xdr:rowOff>37332</xdr:rowOff>
    </xdr:from>
    <xdr:to>
      <xdr:col>15</xdr:col>
      <xdr:colOff>854600</xdr:colOff>
      <xdr:row>1</xdr:row>
      <xdr:rowOff>328967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876219</xdr:colOff>
      <xdr:row>0</xdr:row>
      <xdr:rowOff>39102</xdr:rowOff>
    </xdr:from>
    <xdr:to>
      <xdr:col>16</xdr:col>
      <xdr:colOff>770495</xdr:colOff>
      <xdr:row>1</xdr:row>
      <xdr:rowOff>330804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108858</xdr:colOff>
      <xdr:row>0</xdr:row>
      <xdr:rowOff>244928</xdr:rowOff>
    </xdr:from>
    <xdr:to>
      <xdr:col>4</xdr:col>
      <xdr:colOff>75906</xdr:colOff>
      <xdr:row>0</xdr:row>
      <xdr:rowOff>1542009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5" y="244928"/>
          <a:ext cx="3157922" cy="1297081"/>
        </a:xfrm>
        <a:prstGeom prst="rect">
          <a:avLst/>
        </a:prstGeom>
      </xdr:spPr>
    </xdr:pic>
    <xdr:clientData/>
  </xdr:twoCellAnchor>
  <xdr:oneCellAnchor>
    <xdr:from>
      <xdr:col>16</xdr:col>
      <xdr:colOff>1745516</xdr:colOff>
      <xdr:row>0</xdr:row>
      <xdr:rowOff>1065290</xdr:rowOff>
    </xdr:from>
    <xdr:ext cx="458135" cy="313092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676079" y="1065290"/>
          <a:ext cx="458135" cy="313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1100"/>
            <a:t>Keine</a:t>
          </a:r>
        </a:p>
      </xdr:txBody>
    </xdr:sp>
    <xdr:clientData/>
  </xdr:oneCellAnchor>
  <xdr:oneCellAnchor>
    <xdr:from>
      <xdr:col>8</xdr:col>
      <xdr:colOff>1381719</xdr:colOff>
      <xdr:row>0</xdr:row>
      <xdr:rowOff>790957</xdr:rowOff>
    </xdr:from>
    <xdr:ext cx="299264" cy="248851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436047" y="790957"/>
          <a:ext cx="29926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000"/>
            <a:t>2</a:t>
          </a:r>
          <a:endParaRPr lang="de-CH" sz="1050"/>
        </a:p>
      </xdr:txBody>
    </xdr:sp>
    <xdr:clientData/>
  </xdr:oneCellAnchor>
  <xdr:twoCellAnchor>
    <xdr:from>
      <xdr:col>17</xdr:col>
      <xdr:colOff>15468</xdr:colOff>
      <xdr:row>0</xdr:row>
      <xdr:rowOff>43816</xdr:rowOff>
    </xdr:from>
    <xdr:to>
      <xdr:col>20</xdr:col>
      <xdr:colOff>466726</xdr:colOff>
      <xdr:row>1</xdr:row>
      <xdr:rowOff>328448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463136</xdr:colOff>
      <xdr:row>0</xdr:row>
      <xdr:rowOff>1348801</xdr:rowOff>
    </xdr:from>
    <xdr:to>
      <xdr:col>15</xdr:col>
      <xdr:colOff>167373</xdr:colOff>
      <xdr:row>0</xdr:row>
      <xdr:rowOff>1639556</xdr:rowOff>
    </xdr:to>
    <xdr:sp macro="" textlink="">
      <xdr:nvSpPr>
        <xdr:cNvPr id="25" name="Textfeld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3255944" y="1348801"/>
          <a:ext cx="349006" cy="29075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de-CH" sz="1000" b="1">
              <a:solidFill>
                <a:sysClr val="windowText" lastClr="000000"/>
              </a:solidFill>
            </a:rPr>
            <a:t>PP</a:t>
          </a:r>
          <a:endParaRPr lang="de-C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668974</xdr:colOff>
      <xdr:row>0</xdr:row>
      <xdr:rowOff>766346</xdr:rowOff>
    </xdr:from>
    <xdr:to>
      <xdr:col>14</xdr:col>
      <xdr:colOff>136908</xdr:colOff>
      <xdr:row>0</xdr:row>
      <xdr:rowOff>1057101</xdr:rowOff>
    </xdr:to>
    <xdr:sp macro="" textlink="">
      <xdr:nvSpPr>
        <xdr:cNvPr id="26" name="Textfeld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2348089" y="766346"/>
          <a:ext cx="581627" cy="29075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de-CH" sz="1000" b="1">
              <a:solidFill>
                <a:schemeClr val="bg1"/>
              </a:solidFill>
            </a:rPr>
            <a:t>NBR</a:t>
          </a:r>
          <a:endParaRPr lang="de-CH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0.54405</cdr:x>
      <cdr:y>0.57667</cdr:y>
    </cdr:from>
    <cdr:to>
      <cdr:x>0.92259</cdr:x>
      <cdr:y>1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1314218" y="164214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CH" sz="1100"/>
        </a:p>
      </cdr:txBody>
    </cdr:sp>
  </cdr:relSizeAnchor>
  <cdr:relSizeAnchor xmlns:cdr="http://schemas.openxmlformats.org/drawingml/2006/chartDrawing">
    <cdr:from>
      <cdr:x>0.57084</cdr:x>
      <cdr:y>0.69645</cdr:y>
    </cdr:from>
    <cdr:to>
      <cdr:x>0.65839</cdr:x>
      <cdr:y>0.80407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381425" y="1508305"/>
          <a:ext cx="211871" cy="233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CH" sz="1000"/>
            <a:t>1</a:t>
          </a:r>
          <a:endParaRPr lang="de-CH" sz="1100"/>
        </a:p>
      </cdr:txBody>
    </cdr:sp>
  </cdr:relSizeAnchor>
  <cdr:relSizeAnchor xmlns:cdr="http://schemas.openxmlformats.org/drawingml/2006/chartDrawing">
    <cdr:from>
      <cdr:x>0.6005</cdr:x>
      <cdr:y>0.31724</cdr:y>
    </cdr:from>
    <cdr:to>
      <cdr:x>0.70234</cdr:x>
      <cdr:y>0.43544</cdr:y>
    </cdr:to>
    <cdr:sp macro="" textlink="">
      <cdr:nvSpPr>
        <cdr:cNvPr id="4" name="Textfeld 3"/>
        <cdr:cNvSpPr txBox="1"/>
      </cdr:nvSpPr>
      <cdr:spPr>
        <a:xfrm xmlns:a="http://schemas.openxmlformats.org/drawingml/2006/main">
          <a:off x="1453210" y="687052"/>
          <a:ext cx="246462" cy="2559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CH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0.29587</cdr:x>
      <cdr:y>0.33336</cdr:y>
    </cdr:from>
    <cdr:to>
      <cdr:x>0.42828</cdr:x>
      <cdr:y>0.46295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713163" y="721445"/>
          <a:ext cx="319163" cy="280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CH" sz="1100"/>
            <a:t>Ja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0.63107</cdr:x>
      <cdr:y>0.41828</cdr:y>
    </cdr:from>
    <cdr:to>
      <cdr:x>0.81371</cdr:x>
      <cdr:y>0.55197</cdr:y>
    </cdr:to>
    <cdr:sp macro="" textlink="">
      <cdr:nvSpPr>
        <cdr:cNvPr id="5" name="Textfeld 4"/>
        <cdr:cNvSpPr txBox="1"/>
      </cdr:nvSpPr>
      <cdr:spPr>
        <a:xfrm xmlns:a="http://schemas.openxmlformats.org/drawingml/2006/main">
          <a:off x="1495316" y="902863"/>
          <a:ext cx="432770" cy="2885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CH" sz="8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0.38467</cdr:x>
      <cdr:y>0.49464</cdr:y>
    </cdr:from>
    <cdr:to>
      <cdr:x>0.62743</cdr:x>
      <cdr:y>0.61584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931702" y="1068463"/>
          <a:ext cx="587983" cy="2618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CH" sz="1000" b="0"/>
            <a:t>Kanton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AB137"/>
  <sheetViews>
    <sheetView tabSelected="1" topLeftCell="B5" zoomScale="115" zoomScaleNormal="115" zoomScaleSheetLayoutView="130" zoomScalePageLayoutView="70" workbookViewId="0">
      <selection activeCell="H11" sqref="H11"/>
    </sheetView>
  </sheetViews>
  <sheetFormatPr baseColWidth="10" defaultRowHeight="15" x14ac:dyDescent="0.25"/>
  <cols>
    <col min="1" max="1" width="6.42578125" style="4" customWidth="1"/>
    <col min="2" max="2" width="21" style="5" bestFit="1" customWidth="1"/>
    <col min="3" max="3" width="17.7109375" style="5" customWidth="1"/>
    <col min="4" max="4" width="9.140625" style="5" customWidth="1"/>
    <col min="5" max="5" width="7.140625" style="5" customWidth="1"/>
    <col min="6" max="6" width="14.140625" style="5" customWidth="1"/>
    <col min="7" max="7" width="10.140625" style="5" customWidth="1"/>
    <col min="8" max="8" width="13.28515625" style="5" customWidth="1"/>
    <col min="9" max="9" width="27.5703125" style="8" customWidth="1"/>
    <col min="10" max="10" width="11.5703125" customWidth="1"/>
    <col min="11" max="11" width="13.85546875" customWidth="1"/>
    <col min="12" max="12" width="8.5703125" customWidth="1"/>
    <col min="13" max="13" width="22.7109375" customWidth="1"/>
    <col min="14" max="14" width="16.7109375" style="7" bestFit="1" customWidth="1"/>
    <col min="15" max="15" width="9.7109375" style="5" customWidth="1"/>
    <col min="16" max="16" width="37.85546875" customWidth="1"/>
    <col min="17" max="17" width="48.42578125" style="6" bestFit="1" customWidth="1"/>
    <col min="18" max="18" width="13.28515625" style="2" bestFit="1" customWidth="1"/>
    <col min="19" max="19" width="11.42578125" style="2"/>
    <col min="20" max="20" width="12.140625" style="2" bestFit="1" customWidth="1"/>
    <col min="21" max="21" width="12.42578125" style="5" bestFit="1" customWidth="1"/>
    <col min="22" max="22" width="16" style="2" customWidth="1"/>
    <col min="23" max="23" width="12.28515625" style="2" bestFit="1" customWidth="1"/>
    <col min="24" max="24" width="21.140625" bestFit="1" customWidth="1"/>
    <col min="25" max="25" width="21.28515625" customWidth="1"/>
  </cols>
  <sheetData>
    <row r="1" spans="1:28" ht="147" customHeight="1" x14ac:dyDescent="0.25">
      <c r="A1" s="40"/>
      <c r="B1" s="42"/>
      <c r="C1" s="42"/>
      <c r="D1" s="42"/>
      <c r="E1" s="42"/>
      <c r="F1" s="42"/>
      <c r="G1" s="42"/>
      <c r="H1" s="42"/>
      <c r="I1" s="44"/>
      <c r="J1" s="43"/>
      <c r="K1" s="43"/>
      <c r="L1" s="43"/>
      <c r="M1" s="43"/>
      <c r="N1" s="45"/>
      <c r="O1" s="42"/>
      <c r="P1" s="43"/>
      <c r="Q1" s="43"/>
      <c r="R1" s="41"/>
      <c r="S1" s="41"/>
      <c r="T1" s="41"/>
      <c r="U1" s="42"/>
      <c r="V1" s="41"/>
      <c r="W1" s="41"/>
      <c r="X1" s="43"/>
      <c r="Y1" s="62"/>
    </row>
    <row r="2" spans="1:28" ht="30" customHeight="1" x14ac:dyDescent="0.25">
      <c r="A2" s="61">
        <f>SUM(E2:E9,G9)</f>
        <v>0</v>
      </c>
      <c r="B2" s="9"/>
      <c r="C2"/>
      <c r="D2" s="10" t="s">
        <v>41</v>
      </c>
      <c r="E2" s="9">
        <f>COUNTIF(D12:D497,D2)</f>
        <v>0</v>
      </c>
      <c r="F2" s="9"/>
      <c r="G2" s="9"/>
      <c r="H2" s="9"/>
      <c r="I2" s="11"/>
      <c r="J2" s="12"/>
      <c r="K2" s="9"/>
      <c r="L2" s="13"/>
      <c r="M2" s="13"/>
      <c r="N2" s="14"/>
      <c r="O2" s="12"/>
      <c r="P2" s="13"/>
      <c r="Q2" s="13"/>
      <c r="R2" s="15"/>
      <c r="S2" s="15"/>
      <c r="T2" s="15"/>
      <c r="U2" s="9"/>
      <c r="V2" s="15"/>
      <c r="W2" s="15"/>
      <c r="X2" s="13"/>
      <c r="Y2" s="46"/>
    </row>
    <row r="3" spans="1:28" ht="30" customHeight="1" x14ac:dyDescent="0.25">
      <c r="A3" s="61">
        <f>SUM(I4,L4)</f>
        <v>0</v>
      </c>
      <c r="B3" s="9"/>
      <c r="C3"/>
      <c r="D3" s="16" t="s">
        <v>40</v>
      </c>
      <c r="E3" s="9">
        <f>COUNTIF(D12:D498,D3)</f>
        <v>0</v>
      </c>
      <c r="F3" s="9"/>
      <c r="G3" s="9"/>
      <c r="H3" s="9"/>
      <c r="I3" s="11"/>
      <c r="J3" s="12"/>
      <c r="K3" s="9"/>
      <c r="L3" s="17"/>
      <c r="M3" s="13"/>
      <c r="N3" s="14"/>
      <c r="O3" s="12"/>
      <c r="P3" s="13"/>
      <c r="Q3" s="13"/>
      <c r="R3" s="15"/>
      <c r="S3" s="15"/>
      <c r="T3" s="15"/>
      <c r="U3" s="9"/>
      <c r="V3" s="15"/>
      <c r="W3" s="15"/>
      <c r="X3" s="13"/>
      <c r="Y3" s="46"/>
    </row>
    <row r="4" spans="1:28" ht="30" customHeight="1" x14ac:dyDescent="0.25">
      <c r="A4" s="68">
        <f>SUM(I5:I9)</f>
        <v>0</v>
      </c>
      <c r="B4" s="9"/>
      <c r="C4"/>
      <c r="D4" s="66" t="s">
        <v>48</v>
      </c>
      <c r="E4" s="9">
        <f>COUNTIF(D12:D499,D4)</f>
        <v>0</v>
      </c>
      <c r="F4" s="9"/>
      <c r="G4" s="9"/>
      <c r="H4" s="9"/>
      <c r="I4" s="18">
        <f xml:space="preserve"> COUNTIF(L12:L498,J4)</f>
        <v>0</v>
      </c>
      <c r="J4" s="9" t="s">
        <v>15</v>
      </c>
      <c r="K4" s="9" t="s">
        <v>13</v>
      </c>
      <c r="L4" s="17">
        <f>COUNTIF(L12:L500,K4)</f>
        <v>0</v>
      </c>
      <c r="M4" s="13"/>
      <c r="N4" s="14"/>
      <c r="O4" s="12"/>
      <c r="P4" s="13"/>
      <c r="Q4" s="13"/>
      <c r="R4" s="15"/>
      <c r="S4" s="15"/>
      <c r="T4" s="15"/>
      <c r="U4" s="9"/>
      <c r="V4" s="15"/>
      <c r="W4" s="15"/>
      <c r="X4" s="13"/>
      <c r="Y4" s="46"/>
    </row>
    <row r="5" spans="1:28" ht="30" customHeight="1" x14ac:dyDescent="0.25">
      <c r="A5" s="61">
        <f>SUM(L5:L8)</f>
        <v>0</v>
      </c>
      <c r="B5" s="9"/>
      <c r="C5"/>
      <c r="D5" s="19" t="s">
        <v>14</v>
      </c>
      <c r="E5" s="9">
        <f>COUNTIF(D12:D500,D5)</f>
        <v>0</v>
      </c>
      <c r="F5" s="20"/>
      <c r="G5" s="20"/>
      <c r="H5" s="20"/>
      <c r="I5" s="21">
        <f>COUNTIF(J12:J60,J5)</f>
        <v>0</v>
      </c>
      <c r="J5" s="22">
        <v>0</v>
      </c>
      <c r="K5" s="23" t="s">
        <v>4</v>
      </c>
      <c r="L5" s="17">
        <f>COUNTIF(K12:K500,K5)</f>
        <v>0</v>
      </c>
      <c r="M5" s="13"/>
      <c r="N5" s="18">
        <f>COUNTIF(O12:O500,O5)</f>
        <v>0</v>
      </c>
      <c r="O5" s="74" t="s">
        <v>51</v>
      </c>
      <c r="P5" s="17"/>
      <c r="Q5" s="13"/>
      <c r="R5" s="15"/>
      <c r="S5" s="15"/>
      <c r="T5" s="15"/>
      <c r="U5" s="9"/>
      <c r="V5" s="15"/>
      <c r="W5" s="15"/>
      <c r="X5" s="13"/>
      <c r="Y5" s="46"/>
    </row>
    <row r="6" spans="1:28" ht="30.75" customHeight="1" x14ac:dyDescent="0.25">
      <c r="A6" s="61">
        <f>SUM(N6:N9)</f>
        <v>0</v>
      </c>
      <c r="B6" s="9"/>
      <c r="C6"/>
      <c r="D6" s="24" t="s">
        <v>21</v>
      </c>
      <c r="E6" s="9">
        <f>COUNTIF(D12:D501,D6)</f>
        <v>0</v>
      </c>
      <c r="F6" s="9"/>
      <c r="G6" s="9"/>
      <c r="H6" s="9"/>
      <c r="I6" s="21">
        <f>COUNTIF(J12:J500,J6)</f>
        <v>0</v>
      </c>
      <c r="J6" s="25">
        <v>1</v>
      </c>
      <c r="K6" s="26" t="s">
        <v>5</v>
      </c>
      <c r="L6" s="17">
        <f>COUNTIF(K12:K500,K6)</f>
        <v>0</v>
      </c>
      <c r="M6" s="13"/>
      <c r="N6" s="18">
        <v>0</v>
      </c>
      <c r="O6" s="27" t="s">
        <v>18</v>
      </c>
      <c r="P6" s="17"/>
      <c r="Q6" s="13"/>
      <c r="R6" s="15"/>
      <c r="S6" s="15"/>
      <c r="T6" s="15"/>
      <c r="U6" s="9"/>
      <c r="V6" s="15"/>
      <c r="W6" s="15"/>
      <c r="X6" s="13"/>
      <c r="Y6" s="46"/>
    </row>
    <row r="7" spans="1:28" ht="30.75" customHeight="1" thickBot="1" x14ac:dyDescent="0.3">
      <c r="A7" s="64" t="s">
        <v>25</v>
      </c>
      <c r="B7" s="17" t="s">
        <v>46</v>
      </c>
      <c r="C7"/>
      <c r="D7" s="28" t="s">
        <v>33</v>
      </c>
      <c r="E7" s="9">
        <f>COUNTIF(D12:D502,D7)</f>
        <v>0</v>
      </c>
      <c r="F7" s="9"/>
      <c r="G7" s="9"/>
      <c r="H7" s="9"/>
      <c r="I7" s="21">
        <f>COUNTIF(J12:J500,J7)</f>
        <v>0</v>
      </c>
      <c r="J7" s="29">
        <v>2</v>
      </c>
      <c r="K7" s="30" t="s">
        <v>23</v>
      </c>
      <c r="L7" s="17">
        <f>COUNTIF(K12:K500,K7)</f>
        <v>0</v>
      </c>
      <c r="M7" s="13"/>
      <c r="N7" s="18">
        <f>COUNTIF(O12:O500,O7)</f>
        <v>0</v>
      </c>
      <c r="O7" s="31" t="s">
        <v>25</v>
      </c>
      <c r="P7" s="17"/>
      <c r="Q7" s="72" t="e">
        <f>SUM(G12,G14,G15,#REF!,G16,G17,G18,G19,G22,G23,G24,G25,G26,G27,G29,G30,G31,G32,G34,G35,G36,G37,G38,G39,G40,G41,G42,G43,G47,G48,G49)</f>
        <v>#REF!</v>
      </c>
      <c r="R7" s="15"/>
      <c r="S7" s="15"/>
      <c r="T7" s="15"/>
      <c r="U7" s="9"/>
      <c r="V7" s="15"/>
      <c r="W7" s="15"/>
      <c r="Y7" s="69"/>
    </row>
    <row r="8" spans="1:28" ht="30.75" customHeight="1" thickBot="1" x14ac:dyDescent="0.3">
      <c r="A8" s="65" t="s">
        <v>28</v>
      </c>
      <c r="B8" s="17" t="s">
        <v>29</v>
      </c>
      <c r="C8"/>
      <c r="D8" s="32" t="s">
        <v>50</v>
      </c>
      <c r="E8" s="9">
        <f>COUNTIF(D12:D503,D8)</f>
        <v>0</v>
      </c>
      <c r="F8" s="9"/>
      <c r="G8" s="9"/>
      <c r="H8" s="9"/>
      <c r="I8" s="21">
        <f>COUNTIF(J12:J500,J8)</f>
        <v>0</v>
      </c>
      <c r="J8" s="33">
        <v>3</v>
      </c>
      <c r="K8" s="34" t="s">
        <v>20</v>
      </c>
      <c r="L8" s="17">
        <f>COUNTIF(K12:K500,K8)</f>
        <v>0</v>
      </c>
      <c r="M8" s="70"/>
      <c r="N8" s="18">
        <v>0</v>
      </c>
      <c r="O8" s="35" t="s">
        <v>26</v>
      </c>
      <c r="P8" s="17"/>
      <c r="Q8" s="13"/>
      <c r="R8" s="101" t="s">
        <v>45</v>
      </c>
      <c r="S8" s="102"/>
      <c r="T8" s="102"/>
      <c r="U8" s="102"/>
      <c r="V8" s="102"/>
      <c r="W8" s="103"/>
      <c r="X8" s="49" t="s">
        <v>36</v>
      </c>
      <c r="Y8" s="48">
        <f>COUNTIF(X12:X498,X8)</f>
        <v>0</v>
      </c>
    </row>
    <row r="9" spans="1:28" ht="30" customHeight="1" thickBot="1" x14ac:dyDescent="0.3">
      <c r="A9" s="47" t="s">
        <v>28</v>
      </c>
      <c r="B9" s="17" t="s">
        <v>22</v>
      </c>
      <c r="C9"/>
      <c r="D9" s="36" t="s">
        <v>34</v>
      </c>
      <c r="E9" s="9">
        <f>COUNTIF(D12:D504,D9)</f>
        <v>0</v>
      </c>
      <c r="F9" s="67" t="s">
        <v>49</v>
      </c>
      <c r="G9" s="9">
        <f>COUNTIF(D12:D504,F9)</f>
        <v>0</v>
      </c>
      <c r="H9" s="9"/>
      <c r="I9" s="21">
        <f>COUNTIF(J12:J500,J9)</f>
        <v>0</v>
      </c>
      <c r="J9" s="37">
        <v>4</v>
      </c>
      <c r="K9" s="9"/>
      <c r="L9" s="9"/>
      <c r="M9" s="17"/>
      <c r="N9" s="18">
        <f>COUNTIF(O12:O500,O9)</f>
        <v>0</v>
      </c>
      <c r="O9" s="63" t="s">
        <v>19</v>
      </c>
      <c r="P9" s="38"/>
      <c r="Q9" s="13"/>
      <c r="R9" s="59">
        <f>SUM(R12:R501)</f>
        <v>0</v>
      </c>
      <c r="S9" s="71">
        <f>SUM(S12:S60)</f>
        <v>0</v>
      </c>
      <c r="T9" s="59">
        <f>SUM(T12:T501)</f>
        <v>0</v>
      </c>
      <c r="U9" s="59">
        <f>SUM(U12:U501)</f>
        <v>0</v>
      </c>
      <c r="V9" s="59">
        <f>SUM(V12:V501)</f>
        <v>0</v>
      </c>
      <c r="W9" s="60">
        <f>SUM(W12:W501)</f>
        <v>0</v>
      </c>
      <c r="X9" s="50" t="s">
        <v>37</v>
      </c>
      <c r="Y9" s="48">
        <f>COUNTIF(X12:X497,X9)</f>
        <v>0</v>
      </c>
    </row>
    <row r="10" spans="1:28" s="1" customFormat="1" ht="30" customHeight="1" thickBot="1" x14ac:dyDescent="0.3">
      <c r="A10" s="104" t="s">
        <v>52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6"/>
      <c r="R10" s="98" t="s">
        <v>35</v>
      </c>
      <c r="S10" s="99"/>
      <c r="T10" s="99"/>
      <c r="U10" s="99"/>
      <c r="V10" s="99"/>
      <c r="W10" s="100"/>
      <c r="X10" s="96" t="s">
        <v>42</v>
      </c>
      <c r="Y10" s="97"/>
    </row>
    <row r="11" spans="1:28" s="3" customFormat="1" ht="41.25" customHeight="1" x14ac:dyDescent="0.25">
      <c r="A11" s="54" t="s">
        <v>9</v>
      </c>
      <c r="B11" s="55" t="s">
        <v>8</v>
      </c>
      <c r="C11" s="55" t="s">
        <v>0</v>
      </c>
      <c r="D11" s="55" t="s">
        <v>11</v>
      </c>
      <c r="E11" s="56" t="s">
        <v>16</v>
      </c>
      <c r="F11" s="55" t="s">
        <v>12</v>
      </c>
      <c r="G11" s="56" t="s">
        <v>53</v>
      </c>
      <c r="H11" s="56" t="s">
        <v>54</v>
      </c>
      <c r="I11" s="56" t="s">
        <v>10</v>
      </c>
      <c r="J11" s="55" t="s">
        <v>24</v>
      </c>
      <c r="K11" s="55" t="s">
        <v>3</v>
      </c>
      <c r="L11" s="56" t="s">
        <v>1</v>
      </c>
      <c r="M11" s="57" t="s">
        <v>39</v>
      </c>
      <c r="N11" s="58" t="s">
        <v>7</v>
      </c>
      <c r="O11" s="56" t="s">
        <v>17</v>
      </c>
      <c r="P11" s="73" t="s">
        <v>2</v>
      </c>
      <c r="Q11" s="93" t="s">
        <v>6</v>
      </c>
      <c r="R11" s="51" t="s">
        <v>30</v>
      </c>
      <c r="S11" s="53" t="s">
        <v>27</v>
      </c>
      <c r="T11" s="53" t="s">
        <v>47</v>
      </c>
      <c r="U11" s="53" t="s">
        <v>31</v>
      </c>
      <c r="V11" s="53" t="s">
        <v>38</v>
      </c>
      <c r="W11" s="52" t="s">
        <v>32</v>
      </c>
      <c r="X11" s="51" t="s">
        <v>44</v>
      </c>
      <c r="Y11" s="52" t="s">
        <v>43</v>
      </c>
    </row>
    <row r="12" spans="1:28" s="1" customFormat="1" ht="30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2"/>
      <c r="S12" s="78"/>
      <c r="T12" s="80"/>
      <c r="U12" s="80"/>
      <c r="V12" s="80"/>
      <c r="W12" s="90"/>
      <c r="X12" s="81"/>
      <c r="Y12" s="75"/>
      <c r="Z12" s="39"/>
      <c r="AA12" s="39"/>
      <c r="AB12" s="39"/>
    </row>
    <row r="13" spans="1:28" s="1" customFormat="1" ht="30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81"/>
      <c r="S13" s="78"/>
      <c r="T13" s="34"/>
      <c r="U13" s="34"/>
      <c r="V13" s="34"/>
      <c r="W13" s="83"/>
      <c r="X13" s="81"/>
      <c r="Y13" s="75"/>
      <c r="Z13" s="39"/>
      <c r="AA13" s="39"/>
      <c r="AB13" s="39"/>
    </row>
    <row r="14" spans="1:28" s="1" customFormat="1" ht="30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81"/>
      <c r="S14" s="78"/>
      <c r="T14" s="77"/>
      <c r="U14" s="34"/>
      <c r="V14" s="34"/>
      <c r="W14" s="83"/>
      <c r="X14" s="81"/>
      <c r="Y14" s="75"/>
      <c r="Z14" s="39"/>
      <c r="AA14" s="39"/>
      <c r="AB14" s="39"/>
    </row>
    <row r="15" spans="1:28" s="1" customFormat="1" ht="30" customHeight="1" x14ac:dyDescent="0.2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81"/>
      <c r="S15" s="78"/>
      <c r="T15" s="77"/>
      <c r="U15" s="34"/>
      <c r="V15" s="34"/>
      <c r="W15" s="83"/>
      <c r="X15" s="81"/>
      <c r="Y15" s="75"/>
      <c r="Z15" s="39"/>
      <c r="AA15" s="39"/>
      <c r="AB15" s="39"/>
    </row>
    <row r="16" spans="1:28" s="1" customFormat="1" ht="30" customHeight="1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81"/>
      <c r="S16" s="78"/>
      <c r="T16" s="34"/>
      <c r="U16" s="34"/>
      <c r="V16" s="34"/>
      <c r="W16" s="86"/>
      <c r="X16" s="81"/>
      <c r="Y16" s="75"/>
      <c r="Z16" s="39"/>
      <c r="AA16" s="39"/>
      <c r="AB16" s="39"/>
    </row>
    <row r="17" spans="1:28" s="1" customFormat="1" ht="30" customHeight="1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81"/>
      <c r="S17" s="78"/>
      <c r="T17" s="34"/>
      <c r="U17" s="34"/>
      <c r="V17" s="34"/>
      <c r="W17" s="86"/>
      <c r="X17" s="81"/>
      <c r="Y17" s="75"/>
      <c r="Z17" s="39"/>
      <c r="AA17" s="39"/>
      <c r="AB17" s="39"/>
    </row>
    <row r="18" spans="1:28" s="1" customFormat="1" ht="30" customHeight="1" x14ac:dyDescent="0.2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81"/>
      <c r="S18" s="78"/>
      <c r="T18" s="34"/>
      <c r="U18" s="34"/>
      <c r="V18" s="34"/>
      <c r="W18" s="86"/>
      <c r="X18" s="81"/>
      <c r="Y18" s="75"/>
      <c r="Z18" s="39"/>
      <c r="AA18" s="39"/>
      <c r="AB18" s="39"/>
    </row>
    <row r="19" spans="1:28" s="1" customFormat="1" ht="30" customHeight="1" x14ac:dyDescent="0.2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81"/>
      <c r="S19" s="78"/>
      <c r="T19" s="34"/>
      <c r="U19" s="34"/>
      <c r="V19" s="77"/>
      <c r="W19" s="86"/>
      <c r="X19" s="81"/>
      <c r="Y19" s="75"/>
      <c r="Z19" s="39"/>
      <c r="AA19" s="39"/>
      <c r="AB19" s="39"/>
    </row>
    <row r="20" spans="1:28" s="1" customFormat="1" ht="30" customHeight="1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81"/>
      <c r="S20" s="78"/>
      <c r="T20" s="34"/>
      <c r="U20" s="34"/>
      <c r="V20" s="34"/>
      <c r="W20" s="86"/>
      <c r="X20" s="81"/>
      <c r="Y20" s="75"/>
      <c r="Z20" s="39"/>
      <c r="AA20" s="39"/>
      <c r="AB20" s="39"/>
    </row>
    <row r="21" spans="1:28" s="1" customFormat="1" ht="30" customHeight="1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81"/>
      <c r="S21" s="78"/>
      <c r="T21" s="34"/>
      <c r="U21" s="34"/>
      <c r="V21" s="34"/>
      <c r="W21" s="83"/>
      <c r="X21" s="81"/>
      <c r="Y21" s="75"/>
      <c r="Z21" s="39"/>
      <c r="AA21" s="39"/>
      <c r="AB21" s="39"/>
    </row>
    <row r="22" spans="1:28" s="1" customFormat="1" ht="30" customHeight="1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81"/>
      <c r="S22" s="78"/>
      <c r="T22" s="34"/>
      <c r="U22" s="34"/>
      <c r="V22" s="34"/>
      <c r="W22" s="83"/>
      <c r="X22" s="81"/>
      <c r="Y22" s="75"/>
      <c r="Z22" s="39"/>
      <c r="AA22" s="39"/>
      <c r="AB22" s="39"/>
    </row>
    <row r="23" spans="1:28" s="1" customFormat="1" ht="30" customHeight="1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81"/>
      <c r="S23" s="78"/>
      <c r="T23" s="34"/>
      <c r="U23" s="34"/>
      <c r="V23" s="34"/>
      <c r="W23" s="83"/>
      <c r="X23" s="81"/>
      <c r="Y23" s="75"/>
      <c r="Z23" s="39"/>
      <c r="AA23" s="39"/>
      <c r="AB23" s="39"/>
    </row>
    <row r="24" spans="1:28" s="1" customFormat="1" ht="30" customHeight="1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81"/>
      <c r="S24" s="78"/>
      <c r="T24" s="34"/>
      <c r="U24" s="34"/>
      <c r="V24" s="34"/>
      <c r="W24" s="83"/>
      <c r="X24" s="81"/>
      <c r="Y24" s="75"/>
      <c r="Z24" s="39"/>
      <c r="AA24" s="39"/>
      <c r="AB24" s="39"/>
    </row>
    <row r="25" spans="1:28" s="1" customFormat="1" ht="30" customHeight="1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81"/>
      <c r="S25" s="78"/>
      <c r="T25" s="34"/>
      <c r="U25" s="34"/>
      <c r="V25" s="34"/>
      <c r="W25" s="86"/>
      <c r="X25" s="81"/>
      <c r="Y25" s="75"/>
      <c r="Z25" s="39"/>
      <c r="AA25" s="39"/>
      <c r="AB25" s="39"/>
    </row>
    <row r="26" spans="1:28" s="1" customFormat="1" ht="30" customHeight="1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81"/>
      <c r="S26" s="78"/>
      <c r="T26" s="77"/>
      <c r="U26" s="34"/>
      <c r="V26" s="34"/>
      <c r="W26" s="86"/>
      <c r="X26" s="81"/>
      <c r="Y26" s="75"/>
      <c r="Z26" s="39"/>
      <c r="AA26" s="39"/>
      <c r="AB26" s="39"/>
    </row>
    <row r="27" spans="1:28" s="1" customFormat="1" ht="30" customHeight="1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81"/>
      <c r="S27" s="78"/>
      <c r="T27" s="34"/>
      <c r="U27" s="34"/>
      <c r="V27" s="34"/>
      <c r="W27" s="86"/>
      <c r="X27" s="81"/>
      <c r="Y27" s="75"/>
      <c r="Z27" s="39"/>
      <c r="AA27" s="39"/>
      <c r="AB27" s="39"/>
    </row>
    <row r="28" spans="1:28" s="1" customFormat="1" ht="30" customHeight="1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81"/>
      <c r="S28" s="78"/>
      <c r="T28" s="34"/>
      <c r="U28" s="34"/>
      <c r="V28" s="34"/>
      <c r="W28" s="86"/>
      <c r="X28" s="82"/>
      <c r="Y28" s="75"/>
      <c r="Z28" s="39"/>
      <c r="AA28" s="39"/>
      <c r="AB28" s="39"/>
    </row>
    <row r="29" spans="1:28" s="1" customFormat="1" ht="30" customHeight="1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81"/>
      <c r="S29" s="78"/>
      <c r="T29" s="34"/>
      <c r="U29" s="34"/>
      <c r="V29" s="34"/>
      <c r="W29" s="86"/>
      <c r="X29" s="82"/>
      <c r="Y29" s="75"/>
      <c r="Z29" s="39"/>
      <c r="AA29" s="39"/>
      <c r="AB29" s="39"/>
    </row>
    <row r="30" spans="1:28" s="1" customFormat="1" ht="30" customHeight="1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81"/>
      <c r="S30" s="78"/>
      <c r="T30" s="34"/>
      <c r="U30" s="34"/>
      <c r="V30" s="34"/>
      <c r="W30" s="86"/>
      <c r="X30" s="82"/>
      <c r="Y30" s="75"/>
      <c r="Z30" s="39"/>
      <c r="AA30" s="39"/>
      <c r="AB30" s="39"/>
    </row>
    <row r="31" spans="1:28" s="1" customFormat="1" ht="30" customHeight="1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81"/>
      <c r="S31" s="78"/>
      <c r="T31" s="34"/>
      <c r="U31" s="34"/>
      <c r="V31" s="34"/>
      <c r="W31" s="86"/>
      <c r="X31" s="82"/>
      <c r="Y31" s="75"/>
      <c r="Z31" s="39"/>
      <c r="AA31" s="39"/>
      <c r="AB31" s="39"/>
    </row>
    <row r="32" spans="1:28" ht="30" customHeight="1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81"/>
      <c r="S32" s="78"/>
      <c r="T32" s="34"/>
      <c r="U32" s="34"/>
      <c r="V32" s="34"/>
      <c r="W32" s="86"/>
      <c r="X32" s="82"/>
      <c r="Y32" s="75"/>
      <c r="Z32" s="38"/>
      <c r="AA32" s="38"/>
      <c r="AB32" s="38"/>
    </row>
    <row r="33" spans="1:28" ht="30" customHeight="1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81"/>
      <c r="S33" s="78"/>
      <c r="T33" s="34"/>
      <c r="U33" s="34"/>
      <c r="V33" s="34"/>
      <c r="W33" s="86"/>
      <c r="X33" s="82"/>
      <c r="Y33" s="75"/>
      <c r="Z33" s="38"/>
      <c r="AA33" s="38"/>
      <c r="AB33" s="38"/>
    </row>
    <row r="34" spans="1:28" s="1" customFormat="1" ht="30" customHeight="1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81"/>
      <c r="S34" s="78"/>
      <c r="T34" s="34"/>
      <c r="U34" s="34"/>
      <c r="V34" s="34"/>
      <c r="W34" s="86"/>
      <c r="X34" s="82"/>
      <c r="Y34" s="75"/>
      <c r="Z34" s="38"/>
      <c r="AA34" s="38"/>
      <c r="AB34" s="39"/>
    </row>
    <row r="35" spans="1:28" s="1" customFormat="1" ht="30" customHeight="1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81"/>
      <c r="S35" s="78"/>
      <c r="T35" s="34"/>
      <c r="U35" s="34"/>
      <c r="V35" s="34"/>
      <c r="W35" s="86"/>
      <c r="X35" s="82"/>
      <c r="Y35" s="75"/>
      <c r="Z35"/>
      <c r="AA35"/>
    </row>
    <row r="36" spans="1:28" s="1" customFormat="1" ht="30" customHeight="1" x14ac:dyDescent="0.25">
      <c r="A36" s="76">
        <v>25</v>
      </c>
      <c r="B36" s="77"/>
      <c r="C36" s="77"/>
      <c r="D36" s="77"/>
      <c r="E36" s="77"/>
      <c r="F36" s="77"/>
      <c r="G36" s="78"/>
      <c r="H36" s="78"/>
      <c r="I36" s="79"/>
      <c r="J36" s="76"/>
      <c r="K36" s="34"/>
      <c r="L36" s="77"/>
      <c r="M36" s="79"/>
      <c r="N36" s="85"/>
      <c r="O36" s="88"/>
      <c r="P36" s="84"/>
      <c r="Q36" s="95"/>
      <c r="R36" s="81"/>
      <c r="S36" s="78"/>
      <c r="T36" s="34"/>
      <c r="U36" s="34"/>
      <c r="V36" s="34"/>
      <c r="W36" s="86"/>
      <c r="X36" s="82"/>
      <c r="Y36" s="75"/>
      <c r="Z36"/>
      <c r="AA36"/>
    </row>
    <row r="37" spans="1:28" s="1" customFormat="1" ht="30" customHeight="1" x14ac:dyDescent="0.25">
      <c r="A37" s="76">
        <v>26</v>
      </c>
      <c r="B37" s="77"/>
      <c r="C37" s="77"/>
      <c r="D37" s="77"/>
      <c r="E37" s="77"/>
      <c r="F37" s="77"/>
      <c r="G37" s="78"/>
      <c r="H37" s="78"/>
      <c r="I37" s="79"/>
      <c r="J37" s="76"/>
      <c r="K37" s="34"/>
      <c r="L37" s="77"/>
      <c r="M37" s="79"/>
      <c r="N37" s="85"/>
      <c r="O37" s="88"/>
      <c r="P37" s="87"/>
      <c r="Q37" s="95"/>
      <c r="R37" s="81"/>
      <c r="S37" s="78"/>
      <c r="T37" s="34"/>
      <c r="U37" s="34"/>
      <c r="V37" s="34"/>
      <c r="W37" s="86"/>
      <c r="X37" s="82"/>
      <c r="Y37" s="75"/>
      <c r="Z37"/>
      <c r="AA37"/>
    </row>
    <row r="38" spans="1:28" s="1" customFormat="1" ht="30" customHeight="1" x14ac:dyDescent="0.25">
      <c r="A38" s="76">
        <v>27</v>
      </c>
      <c r="B38" s="77"/>
      <c r="C38" s="77"/>
      <c r="D38" s="77"/>
      <c r="E38" s="77"/>
      <c r="F38" s="77"/>
      <c r="G38" s="78"/>
      <c r="H38" s="78"/>
      <c r="I38" s="79"/>
      <c r="J38" s="76"/>
      <c r="K38" s="34"/>
      <c r="L38" s="77"/>
      <c r="M38" s="79"/>
      <c r="N38" s="85"/>
      <c r="O38" s="88"/>
      <c r="P38" s="84"/>
      <c r="Q38" s="95"/>
      <c r="R38" s="81"/>
      <c r="S38" s="78"/>
      <c r="T38" s="34"/>
      <c r="U38" s="34"/>
      <c r="V38" s="34"/>
      <c r="W38" s="86"/>
      <c r="X38" s="82"/>
      <c r="Y38" s="75"/>
      <c r="Z38"/>
      <c r="AA38"/>
    </row>
    <row r="39" spans="1:28" s="1" customFormat="1" ht="30" customHeight="1" x14ac:dyDescent="0.25">
      <c r="A39" s="76">
        <v>28</v>
      </c>
      <c r="B39" s="77"/>
      <c r="C39" s="77"/>
      <c r="D39" s="77"/>
      <c r="E39" s="77"/>
      <c r="F39" s="77"/>
      <c r="G39" s="78"/>
      <c r="H39" s="78"/>
      <c r="I39" s="79"/>
      <c r="J39" s="76"/>
      <c r="K39" s="34"/>
      <c r="L39" s="77"/>
      <c r="M39" s="79"/>
      <c r="N39" s="85"/>
      <c r="O39" s="88"/>
      <c r="P39" s="87"/>
      <c r="Q39" s="89"/>
      <c r="R39" s="82"/>
      <c r="S39" s="78"/>
      <c r="T39" s="34"/>
      <c r="U39" s="34"/>
      <c r="V39" s="34"/>
      <c r="W39" s="86"/>
      <c r="X39" s="82"/>
      <c r="Y39" s="75"/>
      <c r="Z39"/>
      <c r="AA39"/>
    </row>
    <row r="40" spans="1:28" s="1" customFormat="1" ht="30" customHeight="1" x14ac:dyDescent="0.25">
      <c r="A40" s="76">
        <v>29</v>
      </c>
      <c r="B40" s="77"/>
      <c r="C40" s="77"/>
      <c r="D40" s="77"/>
      <c r="E40" s="77"/>
      <c r="F40" s="77"/>
      <c r="G40" s="78"/>
      <c r="H40" s="78"/>
      <c r="I40" s="79"/>
      <c r="J40" s="76"/>
      <c r="K40" s="34"/>
      <c r="L40" s="77"/>
      <c r="M40" s="79"/>
      <c r="N40" s="85"/>
      <c r="O40" s="88"/>
      <c r="P40" s="84"/>
      <c r="Q40" s="91"/>
      <c r="R40" s="82"/>
      <c r="S40" s="78"/>
      <c r="T40" s="34"/>
      <c r="U40" s="34"/>
      <c r="V40" s="34"/>
      <c r="W40" s="86"/>
      <c r="X40" s="82"/>
      <c r="Y40" s="75"/>
      <c r="Z40"/>
      <c r="AA40"/>
    </row>
    <row r="41" spans="1:28" s="1" customFormat="1" ht="30" customHeight="1" x14ac:dyDescent="0.25">
      <c r="A41" s="76">
        <v>30</v>
      </c>
      <c r="B41" s="77"/>
      <c r="C41" s="77"/>
      <c r="D41" s="77"/>
      <c r="E41" s="77"/>
      <c r="F41" s="77"/>
      <c r="G41" s="78"/>
      <c r="H41" s="78"/>
      <c r="I41" s="79"/>
      <c r="J41" s="76"/>
      <c r="K41" s="34"/>
      <c r="L41" s="77"/>
      <c r="M41" s="79"/>
      <c r="N41" s="85"/>
      <c r="O41" s="88"/>
      <c r="P41" s="87"/>
      <c r="Q41" s="89"/>
      <c r="R41" s="82"/>
      <c r="S41" s="78"/>
      <c r="T41" s="34"/>
      <c r="U41" s="34"/>
      <c r="V41" s="34"/>
      <c r="W41" s="86"/>
      <c r="X41" s="82"/>
      <c r="Y41" s="75"/>
      <c r="Z41"/>
      <c r="AA41"/>
    </row>
    <row r="42" spans="1:28" s="1" customFormat="1" ht="30" customHeight="1" x14ac:dyDescent="0.25">
      <c r="A42" s="76">
        <v>31</v>
      </c>
      <c r="B42" s="77"/>
      <c r="C42" s="77"/>
      <c r="D42" s="77"/>
      <c r="E42" s="77"/>
      <c r="F42" s="77"/>
      <c r="G42" s="78"/>
      <c r="H42" s="78"/>
      <c r="I42" s="79"/>
      <c r="J42" s="76"/>
      <c r="K42" s="34"/>
      <c r="L42" s="77"/>
      <c r="M42" s="79"/>
      <c r="N42" s="85"/>
      <c r="O42" s="88"/>
      <c r="P42" s="84"/>
      <c r="Q42" s="91"/>
      <c r="R42" s="82"/>
      <c r="S42" s="78"/>
      <c r="T42" s="34"/>
      <c r="U42" s="34"/>
      <c r="V42" s="34"/>
      <c r="W42" s="86"/>
      <c r="X42" s="82"/>
      <c r="Y42" s="75"/>
      <c r="Z42"/>
      <c r="AA42"/>
    </row>
    <row r="43" spans="1:28" s="1" customFormat="1" ht="30" customHeight="1" x14ac:dyDescent="0.25">
      <c r="A43" s="76">
        <v>32</v>
      </c>
      <c r="B43" s="77"/>
      <c r="C43" s="77"/>
      <c r="D43" s="77"/>
      <c r="E43" s="77"/>
      <c r="F43" s="77"/>
      <c r="G43" s="78"/>
      <c r="H43" s="78"/>
      <c r="I43" s="79"/>
      <c r="J43" s="76"/>
      <c r="K43" s="34"/>
      <c r="L43" s="77"/>
      <c r="M43" s="79"/>
      <c r="N43" s="85"/>
      <c r="O43" s="88"/>
      <c r="P43" s="87"/>
      <c r="Q43" s="89"/>
      <c r="R43" s="82"/>
      <c r="S43" s="78"/>
      <c r="T43" s="34"/>
      <c r="U43" s="34"/>
      <c r="V43" s="34"/>
      <c r="W43" s="86"/>
      <c r="X43" s="82"/>
      <c r="Y43" s="75"/>
      <c r="Z43"/>
      <c r="AA43"/>
    </row>
    <row r="44" spans="1:28" s="1" customFormat="1" ht="30" customHeight="1" x14ac:dyDescent="0.25">
      <c r="A44" s="76">
        <v>33</v>
      </c>
      <c r="B44" s="77"/>
      <c r="C44" s="77"/>
      <c r="D44" s="77"/>
      <c r="E44" s="77"/>
      <c r="F44" s="77"/>
      <c r="G44" s="78"/>
      <c r="H44" s="78"/>
      <c r="I44" s="79"/>
      <c r="J44" s="76"/>
      <c r="K44" s="34"/>
      <c r="L44" s="77"/>
      <c r="M44" s="79"/>
      <c r="N44" s="85"/>
      <c r="O44" s="88"/>
      <c r="P44" s="84"/>
      <c r="Q44" s="91"/>
      <c r="R44" s="82"/>
      <c r="S44" s="78"/>
      <c r="T44" s="34"/>
      <c r="U44" s="34"/>
      <c r="V44" s="34"/>
      <c r="W44" s="86"/>
      <c r="X44" s="82"/>
      <c r="Y44" s="75"/>
      <c r="Z44"/>
      <c r="AA44"/>
    </row>
    <row r="45" spans="1:28" s="1" customFormat="1" ht="30" customHeight="1" x14ac:dyDescent="0.25">
      <c r="A45" s="76">
        <v>34</v>
      </c>
      <c r="B45" s="77"/>
      <c r="C45" s="77"/>
      <c r="D45" s="77"/>
      <c r="E45" s="77"/>
      <c r="F45" s="77"/>
      <c r="G45" s="78"/>
      <c r="H45" s="78"/>
      <c r="I45" s="79"/>
      <c r="J45" s="76"/>
      <c r="K45" s="34"/>
      <c r="L45" s="77"/>
      <c r="M45" s="79"/>
      <c r="N45" s="85"/>
      <c r="O45" s="88"/>
      <c r="P45" s="87"/>
      <c r="Q45" s="89"/>
      <c r="R45" s="82"/>
      <c r="S45" s="78"/>
      <c r="T45" s="34"/>
      <c r="U45" s="34"/>
      <c r="V45" s="34"/>
      <c r="W45" s="86"/>
      <c r="X45" s="82"/>
      <c r="Y45" s="75"/>
      <c r="Z45"/>
      <c r="AA45"/>
    </row>
    <row r="46" spans="1:28" s="1" customFormat="1" ht="30" customHeight="1" x14ac:dyDescent="0.25">
      <c r="A46" s="76">
        <v>35</v>
      </c>
      <c r="B46" s="77"/>
      <c r="C46" s="77"/>
      <c r="D46" s="77"/>
      <c r="E46" s="77"/>
      <c r="F46" s="77"/>
      <c r="G46" s="78"/>
      <c r="H46" s="78"/>
      <c r="I46" s="79"/>
      <c r="J46" s="76"/>
      <c r="K46" s="34"/>
      <c r="L46" s="77"/>
      <c r="M46" s="79"/>
      <c r="N46" s="85"/>
      <c r="O46" s="88"/>
      <c r="P46" s="84"/>
      <c r="Q46" s="91"/>
      <c r="R46" s="82"/>
      <c r="S46" s="78"/>
      <c r="T46" s="34"/>
      <c r="U46" s="34"/>
      <c r="V46" s="34"/>
      <c r="W46" s="86"/>
      <c r="X46" s="82"/>
      <c r="Y46" s="75"/>
      <c r="Z46"/>
      <c r="AA46"/>
    </row>
    <row r="47" spans="1:28" s="1" customFormat="1" ht="30" customHeight="1" x14ac:dyDescent="0.25">
      <c r="A47" s="76">
        <v>36</v>
      </c>
      <c r="B47" s="77"/>
      <c r="C47" s="77"/>
      <c r="D47" s="77"/>
      <c r="E47" s="77"/>
      <c r="F47" s="77"/>
      <c r="G47" s="78"/>
      <c r="H47" s="78"/>
      <c r="I47" s="79"/>
      <c r="J47" s="76"/>
      <c r="K47" s="34"/>
      <c r="L47" s="77"/>
      <c r="M47" s="79"/>
      <c r="N47" s="85"/>
      <c r="O47" s="88"/>
      <c r="P47" s="87"/>
      <c r="Q47" s="89"/>
      <c r="R47" s="82"/>
      <c r="S47" s="78"/>
      <c r="T47" s="34"/>
      <c r="U47" s="34"/>
      <c r="V47" s="34"/>
      <c r="W47" s="86"/>
      <c r="X47" s="82"/>
      <c r="Y47" s="75"/>
      <c r="Z47"/>
      <c r="AA47"/>
    </row>
    <row r="48" spans="1:28" s="1" customFormat="1" ht="30" customHeight="1" x14ac:dyDescent="0.25">
      <c r="A48" s="76">
        <v>37</v>
      </c>
      <c r="B48" s="77"/>
      <c r="C48" s="77"/>
      <c r="D48" s="77"/>
      <c r="E48" s="77"/>
      <c r="F48" s="77"/>
      <c r="G48" s="78"/>
      <c r="H48" s="78"/>
      <c r="I48" s="79"/>
      <c r="J48" s="76"/>
      <c r="K48" s="34"/>
      <c r="L48" s="77"/>
      <c r="M48" s="79"/>
      <c r="N48" s="85"/>
      <c r="O48" s="88"/>
      <c r="P48" s="84"/>
      <c r="Q48" s="91"/>
      <c r="R48" s="82"/>
      <c r="S48" s="78"/>
      <c r="T48" s="34"/>
      <c r="U48" s="34"/>
      <c r="V48" s="34"/>
      <c r="W48" s="86"/>
      <c r="X48" s="82"/>
      <c r="Y48" s="75"/>
      <c r="Z48"/>
      <c r="AA48"/>
    </row>
    <row r="49" spans="1:27" s="1" customFormat="1" ht="30" customHeight="1" x14ac:dyDescent="0.25">
      <c r="A49" s="76">
        <v>38</v>
      </c>
      <c r="B49" s="77"/>
      <c r="C49" s="77"/>
      <c r="D49" s="77"/>
      <c r="E49" s="77"/>
      <c r="F49" s="77"/>
      <c r="G49" s="78"/>
      <c r="H49" s="78"/>
      <c r="I49" s="79"/>
      <c r="J49" s="76"/>
      <c r="K49" s="34"/>
      <c r="L49" s="77"/>
      <c r="M49" s="79"/>
      <c r="N49" s="85"/>
      <c r="O49" s="88"/>
      <c r="P49" s="87"/>
      <c r="Q49" s="89"/>
      <c r="R49" s="82"/>
      <c r="S49" s="78"/>
      <c r="T49" s="34"/>
      <c r="U49" s="34"/>
      <c r="V49" s="34"/>
      <c r="W49" s="86"/>
      <c r="X49" s="82"/>
      <c r="Y49" s="75"/>
      <c r="Z49"/>
      <c r="AA49"/>
    </row>
    <row r="50" spans="1:27" s="1" customFormat="1" ht="30" customHeight="1" x14ac:dyDescent="0.25">
      <c r="A50" s="76">
        <v>39</v>
      </c>
      <c r="B50" s="77"/>
      <c r="C50" s="77"/>
      <c r="D50" s="77"/>
      <c r="E50" s="77"/>
      <c r="F50" s="77"/>
      <c r="G50" s="78"/>
      <c r="H50" s="78"/>
      <c r="I50" s="79"/>
      <c r="J50" s="76"/>
      <c r="K50" s="34"/>
      <c r="L50" s="77"/>
      <c r="M50" s="79"/>
      <c r="N50" s="85"/>
      <c r="O50" s="88"/>
      <c r="P50" s="84"/>
      <c r="Q50" s="91"/>
      <c r="R50" s="82"/>
      <c r="S50" s="78"/>
      <c r="T50" s="34"/>
      <c r="U50" s="34"/>
      <c r="V50" s="34"/>
      <c r="W50" s="86"/>
      <c r="X50" s="82"/>
      <c r="Y50" s="75"/>
      <c r="Z50"/>
      <c r="AA50"/>
    </row>
    <row r="51" spans="1:27" s="1" customFormat="1" ht="30" customHeight="1" x14ac:dyDescent="0.25">
      <c r="A51" s="76">
        <v>40</v>
      </c>
      <c r="B51" s="77"/>
      <c r="C51" s="77"/>
      <c r="D51" s="77"/>
      <c r="E51" s="77"/>
      <c r="F51" s="77"/>
      <c r="G51" s="78"/>
      <c r="H51" s="78"/>
      <c r="I51" s="79"/>
      <c r="J51" s="76"/>
      <c r="K51" s="34"/>
      <c r="L51" s="77"/>
      <c r="M51" s="79"/>
      <c r="N51" s="85"/>
      <c r="O51" s="88"/>
      <c r="P51" s="87"/>
      <c r="Q51" s="89"/>
      <c r="R51" s="82"/>
      <c r="S51" s="78"/>
      <c r="T51" s="34"/>
      <c r="U51" s="34"/>
      <c r="V51" s="34"/>
      <c r="W51" s="86"/>
      <c r="X51" s="82"/>
      <c r="Y51" s="75"/>
      <c r="Z51"/>
      <c r="AA51"/>
    </row>
    <row r="52" spans="1:27" s="1" customFormat="1" ht="30" customHeight="1" x14ac:dyDescent="0.25">
      <c r="A52" s="76">
        <v>41</v>
      </c>
      <c r="B52" s="77"/>
      <c r="C52" s="77"/>
      <c r="D52" s="77"/>
      <c r="E52" s="77"/>
      <c r="F52" s="77"/>
      <c r="G52" s="78"/>
      <c r="H52" s="78"/>
      <c r="I52" s="79"/>
      <c r="J52" s="76"/>
      <c r="K52" s="34"/>
      <c r="L52" s="77"/>
      <c r="M52" s="79"/>
      <c r="N52" s="85"/>
      <c r="O52" s="88"/>
      <c r="P52" s="84"/>
      <c r="Q52" s="91"/>
      <c r="R52" s="82"/>
      <c r="S52" s="78"/>
      <c r="T52" s="34"/>
      <c r="U52" s="34"/>
      <c r="V52" s="34"/>
      <c r="W52" s="86"/>
      <c r="X52" s="82"/>
      <c r="Y52" s="75"/>
      <c r="Z52"/>
      <c r="AA52"/>
    </row>
    <row r="53" spans="1:27" s="1" customFormat="1" ht="30" customHeight="1" x14ac:dyDescent="0.25">
      <c r="A53" s="76">
        <v>42</v>
      </c>
      <c r="B53" s="77"/>
      <c r="C53" s="77"/>
      <c r="D53" s="77"/>
      <c r="E53" s="77"/>
      <c r="F53" s="77"/>
      <c r="G53" s="78"/>
      <c r="H53" s="78"/>
      <c r="I53" s="79"/>
      <c r="J53" s="76"/>
      <c r="K53" s="34"/>
      <c r="L53" s="77"/>
      <c r="M53" s="79"/>
      <c r="N53" s="85"/>
      <c r="O53" s="88"/>
      <c r="P53" s="87"/>
      <c r="Q53" s="89"/>
      <c r="R53" s="82"/>
      <c r="S53" s="78"/>
      <c r="T53" s="34"/>
      <c r="U53" s="34"/>
      <c r="V53" s="34"/>
      <c r="W53" s="86"/>
      <c r="X53" s="82"/>
      <c r="Y53" s="75"/>
      <c r="Z53"/>
      <c r="AA53"/>
    </row>
    <row r="54" spans="1:27" s="1" customFormat="1" ht="30" customHeight="1" x14ac:dyDescent="0.25">
      <c r="A54" s="76">
        <v>43</v>
      </c>
      <c r="B54" s="77"/>
      <c r="C54" s="77"/>
      <c r="D54" s="77"/>
      <c r="E54" s="77"/>
      <c r="F54" s="77"/>
      <c r="G54" s="78"/>
      <c r="H54" s="78"/>
      <c r="I54" s="79"/>
      <c r="J54" s="76"/>
      <c r="K54" s="34"/>
      <c r="L54" s="77"/>
      <c r="M54" s="79"/>
      <c r="N54" s="85"/>
      <c r="O54" s="88"/>
      <c r="P54" s="84"/>
      <c r="Q54" s="91"/>
      <c r="R54" s="82"/>
      <c r="S54" s="78"/>
      <c r="T54" s="34"/>
      <c r="U54" s="34"/>
      <c r="V54" s="34"/>
      <c r="W54" s="86"/>
      <c r="X54" s="82"/>
      <c r="Y54" s="75"/>
      <c r="Z54"/>
      <c r="AA54"/>
    </row>
    <row r="55" spans="1:27" s="1" customFormat="1" ht="30" customHeight="1" x14ac:dyDescent="0.25">
      <c r="A55" s="76">
        <v>44</v>
      </c>
      <c r="B55" s="77"/>
      <c r="C55" s="77"/>
      <c r="D55" s="77"/>
      <c r="E55" s="77"/>
      <c r="F55" s="77"/>
      <c r="G55" s="78"/>
      <c r="H55" s="78"/>
      <c r="I55" s="79"/>
      <c r="J55" s="76"/>
      <c r="K55" s="34"/>
      <c r="L55" s="77"/>
      <c r="M55" s="79"/>
      <c r="N55" s="85"/>
      <c r="O55" s="88"/>
      <c r="P55" s="87"/>
      <c r="Q55" s="89"/>
      <c r="R55" s="82"/>
      <c r="S55" s="78"/>
      <c r="T55" s="34"/>
      <c r="U55" s="34"/>
      <c r="V55" s="34"/>
      <c r="W55" s="86"/>
      <c r="X55" s="82"/>
      <c r="Y55" s="75"/>
      <c r="Z55"/>
      <c r="AA55"/>
    </row>
    <row r="56" spans="1:27" s="1" customFormat="1" ht="30" customHeight="1" x14ac:dyDescent="0.25">
      <c r="A56" s="76">
        <v>45</v>
      </c>
      <c r="B56" s="77"/>
      <c r="C56" s="77"/>
      <c r="D56" s="77"/>
      <c r="E56" s="77"/>
      <c r="F56" s="77"/>
      <c r="G56" s="78"/>
      <c r="H56" s="78"/>
      <c r="I56" s="79"/>
      <c r="J56" s="76"/>
      <c r="K56" s="34"/>
      <c r="L56" s="77"/>
      <c r="M56" s="79"/>
      <c r="N56" s="85"/>
      <c r="O56" s="88"/>
      <c r="P56" s="84"/>
      <c r="Q56" s="91"/>
      <c r="R56" s="82"/>
      <c r="S56" s="78"/>
      <c r="T56" s="34"/>
      <c r="U56" s="34"/>
      <c r="V56" s="34"/>
      <c r="W56" s="86"/>
      <c r="X56" s="82"/>
      <c r="Y56" s="75"/>
      <c r="Z56"/>
      <c r="AA56"/>
    </row>
    <row r="57" spans="1:27" s="1" customFormat="1" ht="30" customHeight="1" x14ac:dyDescent="0.25">
      <c r="A57" s="76">
        <v>46</v>
      </c>
      <c r="B57" s="77"/>
      <c r="C57" s="77"/>
      <c r="D57" s="77"/>
      <c r="E57" s="77"/>
      <c r="F57" s="77"/>
      <c r="G57" s="78"/>
      <c r="H57" s="78"/>
      <c r="I57" s="79"/>
      <c r="J57" s="76"/>
      <c r="K57" s="34"/>
      <c r="L57" s="77"/>
      <c r="M57" s="79"/>
      <c r="N57" s="85"/>
      <c r="O57" s="88"/>
      <c r="P57" s="87"/>
      <c r="Q57" s="89"/>
      <c r="R57" s="82"/>
      <c r="S57" s="78"/>
      <c r="T57" s="34"/>
      <c r="U57" s="34"/>
      <c r="V57" s="34"/>
      <c r="W57" s="86"/>
      <c r="X57" s="82"/>
      <c r="Y57" s="75"/>
      <c r="Z57"/>
      <c r="AA57"/>
    </row>
    <row r="58" spans="1:27" s="1" customFormat="1" ht="30" customHeight="1" x14ac:dyDescent="0.25">
      <c r="A58" s="76">
        <v>47</v>
      </c>
      <c r="B58" s="77"/>
      <c r="C58" s="77"/>
      <c r="D58" s="77"/>
      <c r="E58" s="77"/>
      <c r="F58" s="77"/>
      <c r="G58" s="78"/>
      <c r="H58" s="78"/>
      <c r="I58" s="79"/>
      <c r="J58" s="76"/>
      <c r="K58" s="34"/>
      <c r="L58" s="77"/>
      <c r="M58" s="79"/>
      <c r="N58" s="85"/>
      <c r="O58" s="88"/>
      <c r="P58" s="84"/>
      <c r="Q58" s="91"/>
      <c r="R58" s="82"/>
      <c r="S58" s="78"/>
      <c r="T58" s="34"/>
      <c r="U58" s="34"/>
      <c r="V58" s="34"/>
      <c r="W58" s="86"/>
      <c r="X58" s="82"/>
      <c r="Y58" s="75"/>
      <c r="Z58"/>
      <c r="AA58"/>
    </row>
    <row r="59" spans="1:27" s="1" customFormat="1" ht="30" customHeight="1" x14ac:dyDescent="0.25">
      <c r="A59" s="76">
        <v>48</v>
      </c>
      <c r="B59" s="77"/>
      <c r="C59" s="77"/>
      <c r="D59" s="77"/>
      <c r="E59" s="77"/>
      <c r="F59" s="77"/>
      <c r="G59" s="78"/>
      <c r="H59" s="78"/>
      <c r="I59" s="79"/>
      <c r="J59" s="76"/>
      <c r="K59" s="34"/>
      <c r="L59" s="77"/>
      <c r="M59" s="79"/>
      <c r="N59" s="85"/>
      <c r="O59" s="88"/>
      <c r="P59" s="87"/>
      <c r="Q59" s="89"/>
      <c r="R59" s="82"/>
      <c r="S59" s="78"/>
      <c r="T59" s="34"/>
      <c r="U59" s="34"/>
      <c r="V59" s="34"/>
      <c r="W59" s="86"/>
      <c r="X59" s="82"/>
      <c r="Y59" s="75"/>
      <c r="Z59"/>
      <c r="AA59"/>
    </row>
    <row r="60" spans="1:27" s="1" customFormat="1" ht="30" customHeight="1" x14ac:dyDescent="0.25">
      <c r="A60" s="76">
        <v>49</v>
      </c>
      <c r="B60" s="77"/>
      <c r="C60" s="77"/>
      <c r="D60" s="77"/>
      <c r="E60" s="77"/>
      <c r="F60" s="77"/>
      <c r="G60" s="78"/>
      <c r="H60" s="78"/>
      <c r="I60" s="79"/>
      <c r="J60" s="76"/>
      <c r="K60" s="34"/>
      <c r="L60" s="77"/>
      <c r="M60" s="79"/>
      <c r="N60" s="85"/>
      <c r="O60" s="88"/>
      <c r="P60" s="84"/>
      <c r="Q60" s="91"/>
      <c r="R60" s="82"/>
      <c r="S60" s="78"/>
      <c r="T60" s="34"/>
      <c r="U60" s="34"/>
      <c r="V60" s="34"/>
      <c r="W60" s="86"/>
      <c r="X60" s="82"/>
      <c r="Y60" s="75"/>
      <c r="Z60"/>
      <c r="AA60"/>
    </row>
    <row r="61" spans="1:27" s="1" customFormat="1" ht="30" customHeight="1" x14ac:dyDescent="0.25">
      <c r="A61" s="76">
        <v>50</v>
      </c>
      <c r="B61" s="77"/>
      <c r="C61" s="77"/>
      <c r="D61" s="77"/>
      <c r="E61" s="77"/>
      <c r="F61" s="77"/>
      <c r="G61" s="78"/>
      <c r="H61" s="78"/>
      <c r="I61" s="79"/>
      <c r="J61" s="76"/>
      <c r="K61" s="34"/>
      <c r="L61" s="77"/>
      <c r="M61" s="79"/>
      <c r="N61" s="85"/>
      <c r="O61" s="88"/>
      <c r="P61" s="87"/>
      <c r="Q61" s="89"/>
      <c r="R61" s="82"/>
      <c r="S61" s="78"/>
      <c r="T61" s="34"/>
      <c r="U61" s="34"/>
      <c r="V61" s="34"/>
      <c r="W61" s="86"/>
      <c r="X61" s="82"/>
      <c r="Y61" s="75"/>
      <c r="Z61"/>
      <c r="AA61"/>
    </row>
    <row r="62" spans="1:27" s="1" customFormat="1" ht="30" customHeight="1" x14ac:dyDescent="0.25">
      <c r="A62" s="76">
        <v>51</v>
      </c>
      <c r="B62" s="77"/>
      <c r="C62" s="77"/>
      <c r="D62" s="77"/>
      <c r="E62" s="77"/>
      <c r="F62" s="77"/>
      <c r="G62" s="78"/>
      <c r="H62" s="78"/>
      <c r="I62" s="79"/>
      <c r="J62" s="76"/>
      <c r="K62" s="34"/>
      <c r="L62" s="77"/>
      <c r="M62" s="79"/>
      <c r="N62" s="85"/>
      <c r="O62" s="88"/>
      <c r="P62" s="84"/>
      <c r="Q62" s="91"/>
      <c r="R62" s="82"/>
      <c r="S62" s="78"/>
      <c r="T62" s="34"/>
      <c r="U62" s="34"/>
      <c r="V62" s="34"/>
      <c r="W62" s="86"/>
      <c r="X62" s="82"/>
      <c r="Y62" s="75"/>
      <c r="Z62"/>
      <c r="AA62"/>
    </row>
    <row r="63" spans="1:27" s="1" customFormat="1" ht="30" customHeight="1" x14ac:dyDescent="0.25">
      <c r="A63" s="76">
        <v>52</v>
      </c>
      <c r="B63" s="77"/>
      <c r="C63" s="77"/>
      <c r="D63" s="77"/>
      <c r="E63" s="77"/>
      <c r="F63" s="77"/>
      <c r="G63" s="78"/>
      <c r="H63" s="78"/>
      <c r="I63" s="79"/>
      <c r="J63" s="76"/>
      <c r="K63" s="34"/>
      <c r="L63" s="77"/>
      <c r="M63" s="79"/>
      <c r="N63" s="85"/>
      <c r="O63" s="88"/>
      <c r="P63" s="87"/>
      <c r="Q63" s="89"/>
      <c r="R63" s="82"/>
      <c r="S63" s="78"/>
      <c r="T63" s="34"/>
      <c r="U63" s="34"/>
      <c r="V63" s="34"/>
      <c r="W63" s="86"/>
      <c r="X63" s="82"/>
      <c r="Y63" s="75"/>
      <c r="Z63"/>
      <c r="AA63"/>
    </row>
    <row r="64" spans="1:27" ht="30" customHeight="1" x14ac:dyDescent="0.25">
      <c r="A64" s="76">
        <v>53</v>
      </c>
      <c r="B64" s="77"/>
      <c r="C64" s="77"/>
      <c r="D64" s="77"/>
      <c r="E64" s="77"/>
      <c r="F64" s="77"/>
      <c r="G64" s="78"/>
      <c r="H64" s="78"/>
      <c r="I64" s="79"/>
      <c r="J64" s="76"/>
      <c r="K64" s="34"/>
      <c r="L64" s="77"/>
      <c r="M64" s="79"/>
      <c r="N64" s="85"/>
      <c r="O64" s="88"/>
      <c r="P64" s="84"/>
      <c r="Q64" s="91"/>
      <c r="R64" s="82"/>
      <c r="S64" s="78"/>
      <c r="T64" s="34"/>
      <c r="U64" s="34"/>
      <c r="V64" s="34"/>
      <c r="W64" s="86"/>
      <c r="X64" s="82"/>
      <c r="Y64" s="75"/>
    </row>
    <row r="65" spans="1:26" ht="30" customHeight="1" x14ac:dyDescent="0.25">
      <c r="A65" s="76">
        <v>54</v>
      </c>
      <c r="B65" s="77"/>
      <c r="C65" s="77"/>
      <c r="D65" s="77"/>
      <c r="E65" s="77"/>
      <c r="F65" s="77"/>
      <c r="G65" s="78"/>
      <c r="H65" s="78"/>
      <c r="I65" s="79"/>
      <c r="J65" s="76"/>
      <c r="K65" s="34"/>
      <c r="L65" s="77"/>
      <c r="M65" s="79"/>
      <c r="N65" s="85"/>
      <c r="O65" s="88"/>
      <c r="P65" s="87"/>
      <c r="Q65" s="89"/>
      <c r="R65" s="82"/>
      <c r="S65" s="78"/>
      <c r="T65" s="34"/>
      <c r="U65" s="34"/>
      <c r="V65" s="34"/>
      <c r="W65" s="86"/>
      <c r="X65" s="82"/>
      <c r="Y65" s="75"/>
    </row>
    <row r="66" spans="1:26" ht="30" customHeight="1" x14ac:dyDescent="0.25">
      <c r="A66" s="76">
        <v>55</v>
      </c>
      <c r="B66" s="77"/>
      <c r="C66" s="77"/>
      <c r="D66" s="77"/>
      <c r="E66" s="77"/>
      <c r="F66" s="77"/>
      <c r="G66" s="78"/>
      <c r="H66" s="78"/>
      <c r="I66" s="79"/>
      <c r="J66" s="76"/>
      <c r="K66" s="34"/>
      <c r="L66" s="77"/>
      <c r="M66" s="79"/>
      <c r="N66" s="85"/>
      <c r="O66" s="88"/>
      <c r="P66" s="84"/>
      <c r="Q66" s="91"/>
      <c r="R66" s="82"/>
      <c r="S66" s="78"/>
      <c r="T66" s="34"/>
      <c r="U66" s="34"/>
      <c r="V66" s="34"/>
      <c r="W66" s="86"/>
      <c r="X66" s="82"/>
      <c r="Y66" s="75"/>
    </row>
    <row r="67" spans="1:26" ht="30" customHeight="1" x14ac:dyDescent="0.25">
      <c r="A67" s="76">
        <v>56</v>
      </c>
      <c r="B67" s="77"/>
      <c r="C67" s="77"/>
      <c r="D67" s="77"/>
      <c r="E67" s="77"/>
      <c r="F67" s="77"/>
      <c r="G67" s="78"/>
      <c r="H67" s="78"/>
      <c r="I67" s="79"/>
      <c r="J67" s="76"/>
      <c r="K67" s="34"/>
      <c r="L67" s="77"/>
      <c r="M67" s="79"/>
      <c r="N67" s="85"/>
      <c r="O67" s="88"/>
      <c r="P67" s="87"/>
      <c r="Q67" s="89"/>
      <c r="R67" s="82"/>
      <c r="S67" s="78"/>
      <c r="T67" s="34"/>
      <c r="U67" s="34"/>
      <c r="V67" s="34"/>
      <c r="W67" s="86"/>
      <c r="X67" s="82"/>
      <c r="Y67" s="75"/>
    </row>
    <row r="68" spans="1:26" ht="30" customHeight="1" x14ac:dyDescent="0.25">
      <c r="A68" s="76">
        <v>57</v>
      </c>
      <c r="B68" s="77"/>
      <c r="C68" s="77"/>
      <c r="D68" s="77"/>
      <c r="E68" s="77"/>
      <c r="F68" s="77"/>
      <c r="G68" s="78"/>
      <c r="H68" s="78"/>
      <c r="I68" s="79"/>
      <c r="J68" s="76"/>
      <c r="K68" s="34"/>
      <c r="L68" s="77"/>
      <c r="M68" s="79"/>
      <c r="N68" s="85"/>
      <c r="O68" s="88"/>
      <c r="P68" s="84"/>
      <c r="Q68" s="91"/>
      <c r="R68" s="82"/>
      <c r="S68" s="78"/>
      <c r="T68" s="34"/>
      <c r="U68" s="34"/>
      <c r="V68" s="34"/>
      <c r="W68" s="86"/>
      <c r="X68" s="82"/>
      <c r="Y68" s="75"/>
    </row>
    <row r="69" spans="1:26" ht="30" customHeight="1" x14ac:dyDescent="0.25">
      <c r="A69" s="76">
        <v>58</v>
      </c>
      <c r="B69" s="77"/>
      <c r="C69" s="77"/>
      <c r="D69" s="77"/>
      <c r="E69" s="77"/>
      <c r="F69" s="77"/>
      <c r="G69" s="78"/>
      <c r="H69" s="78"/>
      <c r="I69" s="79"/>
      <c r="J69" s="76"/>
      <c r="K69" s="34"/>
      <c r="L69" s="77"/>
      <c r="M69" s="79"/>
      <c r="N69" s="85"/>
      <c r="O69" s="88"/>
      <c r="P69" s="87"/>
      <c r="Q69" s="89"/>
      <c r="R69" s="82"/>
      <c r="S69" s="78"/>
      <c r="T69" s="34"/>
      <c r="U69" s="34"/>
      <c r="V69" s="34"/>
      <c r="W69" s="86"/>
      <c r="X69" s="82"/>
      <c r="Y69" s="75"/>
    </row>
    <row r="70" spans="1:26" ht="30" customHeight="1" x14ac:dyDescent="0.25">
      <c r="A70" s="76">
        <v>59</v>
      </c>
      <c r="B70" s="77"/>
      <c r="C70" s="77"/>
      <c r="D70" s="77"/>
      <c r="E70" s="77"/>
      <c r="F70" s="77"/>
      <c r="G70" s="78"/>
      <c r="H70" s="78"/>
      <c r="I70" s="79"/>
      <c r="J70" s="76"/>
      <c r="K70" s="34"/>
      <c r="L70" s="77"/>
      <c r="M70" s="79"/>
      <c r="N70" s="85"/>
      <c r="O70" s="88"/>
      <c r="P70" s="84"/>
      <c r="Q70" s="91"/>
      <c r="R70" s="82"/>
      <c r="S70" s="78"/>
      <c r="T70" s="34"/>
      <c r="U70" s="34"/>
      <c r="V70" s="34"/>
      <c r="W70" s="86"/>
      <c r="X70" s="82"/>
      <c r="Y70" s="75"/>
    </row>
    <row r="71" spans="1:26" ht="30" customHeight="1" x14ac:dyDescent="0.25">
      <c r="A71" s="76">
        <v>60</v>
      </c>
      <c r="B71" s="77"/>
      <c r="C71" s="77"/>
      <c r="D71" s="77"/>
      <c r="E71" s="77"/>
      <c r="F71" s="77"/>
      <c r="G71" s="78"/>
      <c r="H71" s="78"/>
      <c r="I71" s="79"/>
      <c r="J71" s="76"/>
      <c r="K71" s="34"/>
      <c r="L71" s="77"/>
      <c r="M71" s="79"/>
      <c r="N71" s="85"/>
      <c r="O71" s="88"/>
      <c r="P71" s="87"/>
      <c r="Q71" s="89"/>
      <c r="R71" s="82"/>
      <c r="S71" s="78"/>
      <c r="T71" s="34"/>
      <c r="U71" s="34"/>
      <c r="V71" s="34"/>
      <c r="W71" s="86"/>
      <c r="X71" s="82"/>
      <c r="Y71" s="75"/>
    </row>
    <row r="72" spans="1:26" ht="30" customHeight="1" x14ac:dyDescent="0.25">
      <c r="A72" s="76">
        <v>61</v>
      </c>
      <c r="B72" s="77"/>
      <c r="C72" s="77"/>
      <c r="D72" s="77"/>
      <c r="E72" s="77"/>
      <c r="F72" s="77"/>
      <c r="G72" s="78"/>
      <c r="H72" s="78"/>
      <c r="I72" s="79"/>
      <c r="J72" s="76"/>
      <c r="K72" s="34"/>
      <c r="L72" s="77"/>
      <c r="M72" s="79"/>
      <c r="N72" s="85"/>
      <c r="O72" s="88"/>
      <c r="P72" s="84"/>
      <c r="Q72" s="91"/>
      <c r="R72" s="82"/>
      <c r="S72" s="78"/>
      <c r="T72" s="34"/>
      <c r="U72" s="34"/>
      <c r="V72" s="34"/>
      <c r="W72" s="86"/>
      <c r="X72" s="82"/>
      <c r="Y72" s="75"/>
    </row>
    <row r="73" spans="1:26" ht="30" customHeight="1" x14ac:dyDescent="0.25">
      <c r="A73" s="76">
        <v>62</v>
      </c>
      <c r="B73" s="77"/>
      <c r="C73" s="77"/>
      <c r="D73" s="77"/>
      <c r="E73" s="77"/>
      <c r="F73" s="77"/>
      <c r="G73" s="78"/>
      <c r="H73" s="78"/>
      <c r="I73" s="79"/>
      <c r="J73" s="76"/>
      <c r="K73" s="34"/>
      <c r="L73" s="77"/>
      <c r="M73" s="79"/>
      <c r="N73" s="85"/>
      <c r="O73" s="88"/>
      <c r="P73" s="87"/>
      <c r="Q73" s="89"/>
      <c r="R73" s="82"/>
      <c r="S73" s="78"/>
      <c r="T73" s="34"/>
      <c r="U73" s="34"/>
      <c r="V73" s="34"/>
      <c r="W73" s="86"/>
      <c r="X73" s="82"/>
      <c r="Y73" s="75"/>
    </row>
    <row r="74" spans="1:26" ht="30" customHeight="1" x14ac:dyDescent="0.25">
      <c r="A74" s="76">
        <v>63</v>
      </c>
      <c r="B74" s="77"/>
      <c r="C74" s="77"/>
      <c r="D74" s="77"/>
      <c r="E74" s="77"/>
      <c r="F74" s="77"/>
      <c r="G74" s="78"/>
      <c r="H74" s="78"/>
      <c r="I74" s="79"/>
      <c r="J74" s="76"/>
      <c r="K74" s="34"/>
      <c r="L74" s="77"/>
      <c r="M74" s="79"/>
      <c r="N74" s="85"/>
      <c r="O74" s="88"/>
      <c r="P74" s="84"/>
      <c r="Q74" s="91"/>
      <c r="R74" s="82"/>
      <c r="S74" s="78"/>
      <c r="T74" s="34"/>
      <c r="U74" s="34"/>
      <c r="V74" s="34"/>
      <c r="W74" s="86"/>
      <c r="X74" s="82"/>
      <c r="Y74" s="75"/>
    </row>
    <row r="75" spans="1:26" ht="30" customHeight="1" x14ac:dyDescent="0.25">
      <c r="A75" s="76">
        <v>64</v>
      </c>
      <c r="B75" s="77"/>
      <c r="C75" s="77"/>
      <c r="D75" s="77"/>
      <c r="E75" s="77"/>
      <c r="F75" s="77"/>
      <c r="G75" s="78"/>
      <c r="H75" s="78"/>
      <c r="I75" s="79"/>
      <c r="J75" s="76"/>
      <c r="K75" s="34"/>
      <c r="L75" s="77"/>
      <c r="M75" s="79"/>
      <c r="N75" s="85"/>
      <c r="O75" s="88"/>
      <c r="P75" s="87"/>
      <c r="Q75" s="89"/>
      <c r="R75" s="82"/>
      <c r="S75" s="78"/>
      <c r="T75" s="34"/>
      <c r="U75" s="34"/>
      <c r="V75" s="34"/>
      <c r="W75" s="86"/>
      <c r="X75" s="82"/>
      <c r="Y75" s="75"/>
    </row>
    <row r="76" spans="1:26" ht="30" customHeight="1" x14ac:dyDescent="0.25">
      <c r="A76" s="76">
        <v>65</v>
      </c>
      <c r="B76" s="77"/>
      <c r="C76" s="77"/>
      <c r="D76" s="77"/>
      <c r="E76" s="77"/>
      <c r="F76" s="77"/>
      <c r="G76" s="78"/>
      <c r="H76" s="78"/>
      <c r="I76" s="79"/>
      <c r="J76" s="76"/>
      <c r="K76" s="34"/>
      <c r="L76" s="77"/>
      <c r="M76" s="79"/>
      <c r="N76" s="85"/>
      <c r="O76" s="88"/>
      <c r="P76" s="84"/>
      <c r="Q76" s="91"/>
      <c r="R76" s="82"/>
      <c r="S76" s="78"/>
      <c r="T76" s="34"/>
      <c r="U76" s="34"/>
      <c r="V76" s="34"/>
      <c r="W76" s="86"/>
      <c r="X76" s="82"/>
      <c r="Y76" s="75"/>
      <c r="Z76" s="38"/>
    </row>
    <row r="77" spans="1:26" ht="30" customHeight="1" x14ac:dyDescent="0.25">
      <c r="A77" s="76">
        <v>66</v>
      </c>
      <c r="B77" s="77"/>
      <c r="C77" s="77"/>
      <c r="D77" s="77"/>
      <c r="E77" s="77"/>
      <c r="F77" s="77"/>
      <c r="G77" s="78"/>
      <c r="H77" s="78"/>
      <c r="I77" s="79"/>
      <c r="J77" s="76"/>
      <c r="K77" s="34"/>
      <c r="L77" s="77"/>
      <c r="M77" s="79"/>
      <c r="N77" s="85"/>
      <c r="O77" s="88"/>
      <c r="P77" s="87"/>
      <c r="Q77" s="89"/>
      <c r="R77" s="82"/>
      <c r="S77" s="78"/>
      <c r="T77" s="34"/>
      <c r="U77" s="34"/>
      <c r="V77" s="34"/>
      <c r="W77" s="86"/>
      <c r="X77" s="82"/>
      <c r="Y77" s="75"/>
      <c r="Z77" s="38"/>
    </row>
    <row r="78" spans="1:26" ht="30" customHeight="1" x14ac:dyDescent="0.25">
      <c r="A78" s="76">
        <v>67</v>
      </c>
      <c r="B78" s="77"/>
      <c r="C78" s="77"/>
      <c r="D78" s="77"/>
      <c r="E78" s="77"/>
      <c r="F78" s="77"/>
      <c r="G78" s="78"/>
      <c r="H78" s="78"/>
      <c r="I78" s="79"/>
      <c r="J78" s="76"/>
      <c r="K78" s="34"/>
      <c r="L78" s="77"/>
      <c r="M78" s="79"/>
      <c r="N78" s="85"/>
      <c r="O78" s="88"/>
      <c r="P78" s="84"/>
      <c r="Q78" s="91"/>
      <c r="R78" s="82"/>
      <c r="S78" s="78"/>
      <c r="T78" s="34"/>
      <c r="U78" s="34"/>
      <c r="V78" s="34"/>
      <c r="W78" s="86"/>
      <c r="X78" s="82"/>
      <c r="Y78" s="75"/>
      <c r="Z78" s="38"/>
    </row>
    <row r="79" spans="1:26" ht="30" customHeight="1" x14ac:dyDescent="0.25">
      <c r="A79" s="76">
        <v>68</v>
      </c>
      <c r="B79" s="77"/>
      <c r="C79" s="77"/>
      <c r="D79" s="77"/>
      <c r="E79" s="77"/>
      <c r="F79" s="77"/>
      <c r="G79" s="78"/>
      <c r="H79" s="78"/>
      <c r="I79" s="79"/>
      <c r="J79" s="76"/>
      <c r="K79" s="34"/>
      <c r="L79" s="77"/>
      <c r="M79" s="79"/>
      <c r="N79" s="85"/>
      <c r="O79" s="88"/>
      <c r="P79" s="87"/>
      <c r="Q79" s="89"/>
      <c r="R79" s="82"/>
      <c r="S79" s="78"/>
      <c r="T79" s="34"/>
      <c r="U79" s="34"/>
      <c r="V79" s="34"/>
      <c r="W79" s="86"/>
      <c r="X79" s="82"/>
      <c r="Y79" s="75"/>
      <c r="Z79" s="38"/>
    </row>
    <row r="80" spans="1:26" ht="30" customHeight="1" x14ac:dyDescent="0.25">
      <c r="A80" s="76">
        <v>69</v>
      </c>
      <c r="B80" s="77"/>
      <c r="C80" s="77"/>
      <c r="D80" s="77"/>
      <c r="E80" s="77"/>
      <c r="F80" s="77"/>
      <c r="G80" s="78"/>
      <c r="H80" s="78"/>
      <c r="I80" s="79"/>
      <c r="J80" s="76"/>
      <c r="K80" s="34"/>
      <c r="L80" s="77"/>
      <c r="M80" s="79"/>
      <c r="N80" s="85"/>
      <c r="O80" s="88"/>
      <c r="P80" s="84"/>
      <c r="Q80" s="91"/>
      <c r="R80" s="82"/>
      <c r="S80" s="78"/>
      <c r="T80" s="34"/>
      <c r="U80" s="34"/>
      <c r="V80" s="34"/>
      <c r="W80" s="86"/>
      <c r="X80" s="82"/>
      <c r="Y80" s="75"/>
      <c r="Z80" s="38"/>
    </row>
    <row r="81" spans="1:26" ht="30" customHeight="1" x14ac:dyDescent="0.25">
      <c r="A81" s="76">
        <v>70</v>
      </c>
      <c r="B81" s="77"/>
      <c r="C81" s="77"/>
      <c r="D81" s="77"/>
      <c r="E81" s="77"/>
      <c r="F81" s="77"/>
      <c r="G81" s="78"/>
      <c r="H81" s="78"/>
      <c r="I81" s="79"/>
      <c r="J81" s="76"/>
      <c r="K81" s="34"/>
      <c r="L81" s="77"/>
      <c r="M81" s="79"/>
      <c r="N81" s="85"/>
      <c r="O81" s="88"/>
      <c r="P81" s="87"/>
      <c r="Q81" s="89"/>
      <c r="R81" s="82"/>
      <c r="S81" s="78"/>
      <c r="T81" s="34"/>
      <c r="U81" s="34"/>
      <c r="V81" s="34"/>
      <c r="W81" s="86"/>
      <c r="X81" s="82"/>
      <c r="Y81" s="75"/>
      <c r="Z81" s="38"/>
    </row>
    <row r="82" spans="1:26" ht="30" customHeight="1" x14ac:dyDescent="0.25">
      <c r="A82" s="76">
        <v>71</v>
      </c>
      <c r="B82" s="77"/>
      <c r="C82" s="77"/>
      <c r="D82" s="77"/>
      <c r="E82" s="77"/>
      <c r="F82" s="77"/>
      <c r="G82" s="78"/>
      <c r="H82" s="78"/>
      <c r="I82" s="79"/>
      <c r="J82" s="76"/>
      <c r="K82" s="34"/>
      <c r="L82" s="77"/>
      <c r="M82" s="79"/>
      <c r="N82" s="85"/>
      <c r="O82" s="88"/>
      <c r="P82" s="84"/>
      <c r="Q82" s="91"/>
      <c r="R82" s="82"/>
      <c r="S82" s="78"/>
      <c r="T82" s="34"/>
      <c r="U82" s="34"/>
      <c r="V82" s="34"/>
      <c r="W82" s="86"/>
      <c r="X82" s="82"/>
      <c r="Y82" s="75"/>
      <c r="Z82" s="38"/>
    </row>
    <row r="83" spans="1:26" ht="30" customHeight="1" x14ac:dyDescent="0.25">
      <c r="A83" s="76">
        <v>72</v>
      </c>
      <c r="B83" s="77"/>
      <c r="C83" s="77"/>
      <c r="D83" s="77"/>
      <c r="E83" s="77"/>
      <c r="F83" s="77"/>
      <c r="G83" s="78"/>
      <c r="H83" s="78"/>
      <c r="I83" s="79"/>
      <c r="J83" s="76"/>
      <c r="K83" s="34"/>
      <c r="L83" s="77"/>
      <c r="M83" s="79"/>
      <c r="N83" s="85"/>
      <c r="O83" s="88"/>
      <c r="P83" s="87"/>
      <c r="Q83" s="89"/>
      <c r="R83" s="82"/>
      <c r="S83" s="78"/>
      <c r="T83" s="34"/>
      <c r="U83" s="34"/>
      <c r="V83" s="34"/>
      <c r="W83" s="86"/>
      <c r="X83" s="82"/>
      <c r="Y83" s="75"/>
      <c r="Z83" s="38"/>
    </row>
    <row r="84" spans="1:26" ht="30" customHeight="1" x14ac:dyDescent="0.25">
      <c r="A84" s="76">
        <v>73</v>
      </c>
      <c r="B84" s="77"/>
      <c r="C84" s="77"/>
      <c r="D84" s="77"/>
      <c r="E84" s="77"/>
      <c r="F84" s="77"/>
      <c r="G84" s="78"/>
      <c r="H84" s="78"/>
      <c r="I84" s="79"/>
      <c r="J84" s="76"/>
      <c r="K84" s="34"/>
      <c r="L84" s="77"/>
      <c r="M84" s="79"/>
      <c r="N84" s="85"/>
      <c r="O84" s="88"/>
      <c r="P84" s="84"/>
      <c r="Q84" s="91"/>
      <c r="R84" s="82"/>
      <c r="S84" s="78"/>
      <c r="T84" s="34"/>
      <c r="U84" s="34"/>
      <c r="V84" s="34"/>
      <c r="W84" s="86"/>
      <c r="X84" s="82"/>
      <c r="Y84" s="75"/>
      <c r="Z84" s="38"/>
    </row>
    <row r="85" spans="1:26" ht="30" customHeight="1" x14ac:dyDescent="0.25">
      <c r="A85" s="76">
        <v>74</v>
      </c>
      <c r="B85" s="77"/>
      <c r="C85" s="77"/>
      <c r="D85" s="77"/>
      <c r="E85" s="77"/>
      <c r="F85" s="77"/>
      <c r="G85" s="78"/>
      <c r="H85" s="78"/>
      <c r="I85" s="79"/>
      <c r="J85" s="76"/>
      <c r="K85" s="34"/>
      <c r="L85" s="77"/>
      <c r="M85" s="79"/>
      <c r="N85" s="85"/>
      <c r="O85" s="88"/>
      <c r="P85" s="87"/>
      <c r="Q85" s="89"/>
      <c r="R85" s="82"/>
      <c r="S85" s="78"/>
      <c r="T85" s="34"/>
      <c r="U85" s="34"/>
      <c r="V85" s="34"/>
      <c r="W85" s="86"/>
      <c r="X85" s="82"/>
      <c r="Y85" s="75"/>
      <c r="Z85" s="38"/>
    </row>
    <row r="86" spans="1:26" ht="30" customHeight="1" x14ac:dyDescent="0.25">
      <c r="A86" s="76">
        <v>75</v>
      </c>
      <c r="B86" s="77"/>
      <c r="C86" s="77"/>
      <c r="D86" s="77"/>
      <c r="E86" s="77"/>
      <c r="F86" s="77"/>
      <c r="G86" s="78"/>
      <c r="H86" s="78"/>
      <c r="I86" s="79"/>
      <c r="J86" s="76"/>
      <c r="K86" s="34"/>
      <c r="L86" s="77"/>
      <c r="M86" s="79"/>
      <c r="N86" s="85"/>
      <c r="O86" s="88"/>
      <c r="P86" s="84"/>
      <c r="Q86" s="91"/>
      <c r="R86" s="82"/>
      <c r="S86" s="78"/>
      <c r="T86" s="34"/>
      <c r="U86" s="34"/>
      <c r="V86" s="34"/>
      <c r="W86" s="86"/>
      <c r="X86" s="82"/>
      <c r="Y86" s="75"/>
      <c r="Z86" s="38"/>
    </row>
    <row r="87" spans="1:26" ht="30" customHeight="1" x14ac:dyDescent="0.25">
      <c r="A87" s="76">
        <v>76</v>
      </c>
      <c r="B87" s="77"/>
      <c r="C87" s="77"/>
      <c r="D87" s="77"/>
      <c r="E87" s="77"/>
      <c r="F87" s="77"/>
      <c r="G87" s="78"/>
      <c r="H87" s="78"/>
      <c r="I87" s="79"/>
      <c r="J87" s="76"/>
      <c r="K87" s="34"/>
      <c r="L87" s="77"/>
      <c r="M87" s="79"/>
      <c r="N87" s="85"/>
      <c r="O87" s="88"/>
      <c r="P87" s="87"/>
      <c r="Q87" s="89"/>
      <c r="R87" s="82"/>
      <c r="S87" s="78"/>
      <c r="T87" s="34"/>
      <c r="U87" s="34"/>
      <c r="V87" s="34"/>
      <c r="W87" s="86"/>
      <c r="X87" s="82"/>
      <c r="Y87" s="75"/>
      <c r="Z87" s="38"/>
    </row>
    <row r="88" spans="1:26" ht="30" customHeight="1" x14ac:dyDescent="0.25">
      <c r="A88" s="76">
        <v>77</v>
      </c>
      <c r="B88" s="77"/>
      <c r="C88" s="77"/>
      <c r="D88" s="77"/>
      <c r="E88" s="77"/>
      <c r="F88" s="77"/>
      <c r="G88" s="78"/>
      <c r="H88" s="78"/>
      <c r="I88" s="79"/>
      <c r="J88" s="76"/>
      <c r="K88" s="34"/>
      <c r="L88" s="77"/>
      <c r="M88" s="79"/>
      <c r="N88" s="85"/>
      <c r="O88" s="88"/>
      <c r="P88" s="84"/>
      <c r="Q88" s="91"/>
      <c r="R88" s="82"/>
      <c r="S88" s="78"/>
      <c r="T88" s="34"/>
      <c r="U88" s="34"/>
      <c r="V88" s="34"/>
      <c r="W88" s="86"/>
      <c r="X88" s="82"/>
      <c r="Y88" s="75"/>
      <c r="Z88" s="38"/>
    </row>
    <row r="89" spans="1:26" ht="30" customHeight="1" x14ac:dyDescent="0.25">
      <c r="A89" s="76">
        <v>78</v>
      </c>
      <c r="B89" s="77"/>
      <c r="C89" s="77"/>
      <c r="D89" s="77"/>
      <c r="E89" s="77"/>
      <c r="F89" s="77"/>
      <c r="G89" s="78"/>
      <c r="H89" s="78"/>
      <c r="I89" s="79"/>
      <c r="J89" s="76"/>
      <c r="K89" s="34"/>
      <c r="L89" s="77"/>
      <c r="M89" s="79"/>
      <c r="N89" s="85"/>
      <c r="O89" s="88"/>
      <c r="P89" s="87"/>
      <c r="Q89" s="89"/>
      <c r="R89" s="82"/>
      <c r="S89" s="78"/>
      <c r="T89" s="34"/>
      <c r="U89" s="34"/>
      <c r="V89" s="34"/>
      <c r="W89" s="86"/>
      <c r="X89" s="82"/>
      <c r="Y89" s="75"/>
      <c r="Z89" s="38"/>
    </row>
    <row r="90" spans="1:26" ht="30" customHeight="1" x14ac:dyDescent="0.25">
      <c r="A90" s="76">
        <v>79</v>
      </c>
      <c r="B90" s="77"/>
      <c r="C90" s="77"/>
      <c r="D90" s="77"/>
      <c r="E90" s="77"/>
      <c r="F90" s="77"/>
      <c r="G90" s="78"/>
      <c r="H90" s="78"/>
      <c r="I90" s="79"/>
      <c r="J90" s="76"/>
      <c r="K90" s="34"/>
      <c r="L90" s="77"/>
      <c r="M90" s="79"/>
      <c r="N90" s="85"/>
      <c r="O90" s="88"/>
      <c r="P90" s="84"/>
      <c r="Q90" s="91"/>
      <c r="R90" s="82"/>
      <c r="S90" s="78"/>
      <c r="T90" s="34"/>
      <c r="U90" s="34"/>
      <c r="V90" s="34"/>
      <c r="W90" s="86"/>
      <c r="X90" s="82"/>
      <c r="Y90" s="75"/>
      <c r="Z90" s="38"/>
    </row>
    <row r="91" spans="1:26" ht="30" customHeight="1" x14ac:dyDescent="0.25">
      <c r="A91" s="76">
        <v>80</v>
      </c>
      <c r="B91" s="77"/>
      <c r="C91" s="77"/>
      <c r="D91" s="77"/>
      <c r="E91" s="77"/>
      <c r="F91" s="77"/>
      <c r="G91" s="78"/>
      <c r="H91" s="78"/>
      <c r="I91" s="79"/>
      <c r="J91" s="76"/>
      <c r="K91" s="34"/>
      <c r="L91" s="77"/>
      <c r="M91" s="79"/>
      <c r="N91" s="85"/>
      <c r="O91" s="88"/>
      <c r="P91" s="87"/>
      <c r="Q91" s="89"/>
      <c r="R91" s="82"/>
      <c r="S91" s="78"/>
      <c r="T91" s="34"/>
      <c r="U91" s="34"/>
      <c r="V91" s="34"/>
      <c r="W91" s="86"/>
      <c r="X91" s="82"/>
      <c r="Y91" s="75"/>
      <c r="Z91" s="38"/>
    </row>
    <row r="92" spans="1:26" ht="30" customHeight="1" x14ac:dyDescent="0.25">
      <c r="A92" s="76">
        <v>81</v>
      </c>
      <c r="B92" s="77"/>
      <c r="C92" s="77"/>
      <c r="D92" s="77"/>
      <c r="E92" s="77"/>
      <c r="F92" s="77"/>
      <c r="G92" s="78"/>
      <c r="H92" s="78"/>
      <c r="I92" s="79"/>
      <c r="J92" s="76"/>
      <c r="K92" s="34"/>
      <c r="L92" s="77"/>
      <c r="M92" s="79"/>
      <c r="N92" s="85"/>
      <c r="O92" s="88"/>
      <c r="P92" s="84"/>
      <c r="Q92" s="91"/>
      <c r="R92" s="82"/>
      <c r="S92" s="78"/>
      <c r="T92" s="34"/>
      <c r="U92" s="34"/>
      <c r="V92" s="34"/>
      <c r="W92" s="86"/>
      <c r="X92" s="82"/>
      <c r="Y92" s="75"/>
      <c r="Z92" s="38"/>
    </row>
    <row r="93" spans="1:26" ht="30" customHeight="1" x14ac:dyDescent="0.25">
      <c r="A93" s="76">
        <v>82</v>
      </c>
      <c r="B93" s="77"/>
      <c r="C93" s="77"/>
      <c r="D93" s="77"/>
      <c r="E93" s="77"/>
      <c r="F93" s="77"/>
      <c r="G93" s="78"/>
      <c r="H93" s="78"/>
      <c r="I93" s="79"/>
      <c r="J93" s="76"/>
      <c r="K93" s="34"/>
      <c r="L93" s="77"/>
      <c r="M93" s="79"/>
      <c r="N93" s="85"/>
      <c r="O93" s="88"/>
      <c r="P93" s="87"/>
      <c r="Q93" s="89"/>
      <c r="R93" s="82"/>
      <c r="S93" s="78"/>
      <c r="T93" s="34"/>
      <c r="U93" s="34"/>
      <c r="V93" s="34"/>
      <c r="W93" s="86"/>
      <c r="X93" s="82"/>
      <c r="Y93" s="75"/>
      <c r="Z93" s="38"/>
    </row>
    <row r="94" spans="1:26" ht="30" customHeight="1" x14ac:dyDescent="0.25">
      <c r="A94" s="76">
        <v>83</v>
      </c>
      <c r="B94" s="77"/>
      <c r="C94" s="77"/>
      <c r="D94" s="77"/>
      <c r="E94" s="77"/>
      <c r="F94" s="77"/>
      <c r="G94" s="78"/>
      <c r="H94" s="78"/>
      <c r="I94" s="79"/>
      <c r="J94" s="76"/>
      <c r="K94" s="34"/>
      <c r="L94" s="77"/>
      <c r="M94" s="79"/>
      <c r="N94" s="85"/>
      <c r="O94" s="88"/>
      <c r="P94" s="84"/>
      <c r="Q94" s="91"/>
      <c r="R94" s="82"/>
      <c r="S94" s="78"/>
      <c r="T94" s="34"/>
      <c r="U94" s="34"/>
      <c r="V94" s="34"/>
      <c r="W94" s="86"/>
      <c r="X94" s="82"/>
      <c r="Y94" s="75"/>
      <c r="Z94" s="38"/>
    </row>
    <row r="95" spans="1:26" ht="30" customHeight="1" x14ac:dyDescent="0.25">
      <c r="A95" s="76">
        <v>84</v>
      </c>
      <c r="B95" s="77"/>
      <c r="C95" s="77"/>
      <c r="D95" s="77"/>
      <c r="E95" s="77"/>
      <c r="F95" s="77"/>
      <c r="G95" s="78"/>
      <c r="H95" s="78"/>
      <c r="I95" s="79"/>
      <c r="J95" s="76"/>
      <c r="K95" s="34"/>
      <c r="L95" s="77"/>
      <c r="M95" s="79"/>
      <c r="N95" s="85"/>
      <c r="O95" s="88"/>
      <c r="P95" s="87"/>
      <c r="Q95" s="89"/>
      <c r="R95" s="82"/>
      <c r="S95" s="78"/>
      <c r="T95" s="34"/>
      <c r="U95" s="34"/>
      <c r="V95" s="34"/>
      <c r="W95" s="86"/>
      <c r="X95" s="82"/>
      <c r="Y95" s="75"/>
      <c r="Z95" s="38"/>
    </row>
    <row r="96" spans="1:26" ht="30" customHeight="1" x14ac:dyDescent="0.25">
      <c r="A96" s="76">
        <v>85</v>
      </c>
      <c r="B96" s="77"/>
      <c r="C96" s="77"/>
      <c r="D96" s="77"/>
      <c r="E96" s="77"/>
      <c r="F96" s="77"/>
      <c r="G96" s="78"/>
      <c r="H96" s="78"/>
      <c r="I96" s="79"/>
      <c r="J96" s="76"/>
      <c r="K96" s="34"/>
      <c r="L96" s="77"/>
      <c r="M96" s="79"/>
      <c r="N96" s="85"/>
      <c r="O96" s="88"/>
      <c r="P96" s="84"/>
      <c r="Q96" s="91"/>
      <c r="R96" s="82"/>
      <c r="S96" s="78"/>
      <c r="T96" s="34"/>
      <c r="U96" s="34"/>
      <c r="V96" s="34"/>
      <c r="W96" s="86"/>
      <c r="X96" s="82"/>
      <c r="Y96" s="75"/>
      <c r="Z96" s="38"/>
    </row>
    <row r="97" spans="1:26" ht="30" customHeight="1" x14ac:dyDescent="0.25">
      <c r="A97" s="76">
        <v>86</v>
      </c>
      <c r="B97" s="77"/>
      <c r="C97" s="77"/>
      <c r="D97" s="77"/>
      <c r="E97" s="77"/>
      <c r="F97" s="77"/>
      <c r="G97" s="78"/>
      <c r="H97" s="78"/>
      <c r="I97" s="79"/>
      <c r="J97" s="76"/>
      <c r="K97" s="34"/>
      <c r="L97" s="77"/>
      <c r="M97" s="79"/>
      <c r="N97" s="85"/>
      <c r="O97" s="88"/>
      <c r="P97" s="87"/>
      <c r="Q97" s="89"/>
      <c r="R97" s="82"/>
      <c r="S97" s="78"/>
      <c r="T97" s="34"/>
      <c r="U97" s="34"/>
      <c r="V97" s="34"/>
      <c r="W97" s="86"/>
      <c r="X97" s="82"/>
      <c r="Y97" s="75"/>
      <c r="Z97" s="38"/>
    </row>
    <row r="98" spans="1:26" ht="30" customHeight="1" x14ac:dyDescent="0.25">
      <c r="A98" s="76">
        <v>87</v>
      </c>
      <c r="B98" s="77"/>
      <c r="C98" s="77"/>
      <c r="D98" s="77"/>
      <c r="E98" s="77"/>
      <c r="F98" s="77"/>
      <c r="G98" s="78"/>
      <c r="H98" s="78"/>
      <c r="I98" s="79"/>
      <c r="J98" s="76"/>
      <c r="K98" s="34"/>
      <c r="L98" s="77"/>
      <c r="M98" s="79"/>
      <c r="N98" s="85"/>
      <c r="O98" s="88"/>
      <c r="P98" s="84"/>
      <c r="Q98" s="91"/>
      <c r="R98" s="82"/>
      <c r="S98" s="78"/>
      <c r="T98" s="34"/>
      <c r="U98" s="34"/>
      <c r="V98" s="34"/>
      <c r="W98" s="86"/>
      <c r="X98" s="82"/>
      <c r="Y98" s="75"/>
      <c r="Z98" s="38"/>
    </row>
    <row r="99" spans="1:26" ht="30" customHeight="1" x14ac:dyDescent="0.25">
      <c r="A99" s="76">
        <v>88</v>
      </c>
      <c r="B99" s="77"/>
      <c r="C99" s="77"/>
      <c r="D99" s="77"/>
      <c r="E99" s="77"/>
      <c r="F99" s="77"/>
      <c r="G99" s="78"/>
      <c r="H99" s="78"/>
      <c r="I99" s="79"/>
      <c r="J99" s="76"/>
      <c r="K99" s="34"/>
      <c r="L99" s="77"/>
      <c r="M99" s="79"/>
      <c r="N99" s="85"/>
      <c r="O99" s="88"/>
      <c r="P99" s="87"/>
      <c r="Q99" s="89"/>
      <c r="R99" s="82"/>
      <c r="S99" s="78"/>
      <c r="T99" s="34"/>
      <c r="U99" s="34"/>
      <c r="V99" s="34"/>
      <c r="W99" s="86"/>
      <c r="X99" s="82"/>
      <c r="Y99" s="75"/>
      <c r="Z99" s="38"/>
    </row>
    <row r="100" spans="1:26" ht="30" customHeight="1" x14ac:dyDescent="0.25">
      <c r="A100" s="76">
        <v>89</v>
      </c>
      <c r="B100" s="77"/>
      <c r="C100" s="77"/>
      <c r="D100" s="77"/>
      <c r="E100" s="77"/>
      <c r="F100" s="77"/>
      <c r="G100" s="78"/>
      <c r="H100" s="78"/>
      <c r="I100" s="79"/>
      <c r="J100" s="76"/>
      <c r="K100" s="34"/>
      <c r="L100" s="77"/>
      <c r="M100" s="79"/>
      <c r="N100" s="85"/>
      <c r="O100" s="88"/>
      <c r="P100" s="84"/>
      <c r="Q100" s="91"/>
      <c r="R100" s="82"/>
      <c r="S100" s="78"/>
      <c r="T100" s="34"/>
      <c r="U100" s="34"/>
      <c r="V100" s="34"/>
      <c r="W100" s="86"/>
      <c r="X100" s="82"/>
      <c r="Y100" s="75"/>
      <c r="Z100" s="38"/>
    </row>
    <row r="101" spans="1:26" ht="30" customHeight="1" x14ac:dyDescent="0.25">
      <c r="A101" s="76">
        <v>90</v>
      </c>
      <c r="B101" s="77"/>
      <c r="C101" s="77"/>
      <c r="D101" s="77"/>
      <c r="E101" s="77"/>
      <c r="F101" s="77"/>
      <c r="G101" s="78"/>
      <c r="H101" s="78"/>
      <c r="I101" s="79"/>
      <c r="J101" s="76"/>
      <c r="K101" s="34"/>
      <c r="L101" s="77"/>
      <c r="M101" s="79"/>
      <c r="N101" s="85"/>
      <c r="O101" s="88"/>
      <c r="P101" s="87"/>
      <c r="Q101" s="89"/>
      <c r="R101" s="82"/>
      <c r="S101" s="78"/>
      <c r="T101" s="34"/>
      <c r="U101" s="34"/>
      <c r="V101" s="34"/>
      <c r="W101" s="86"/>
      <c r="X101" s="82"/>
      <c r="Y101" s="75"/>
      <c r="Z101" s="38"/>
    </row>
    <row r="102" spans="1:26" ht="30" customHeight="1" x14ac:dyDescent="0.25">
      <c r="A102" s="76">
        <v>91</v>
      </c>
      <c r="B102" s="77"/>
      <c r="C102" s="77"/>
      <c r="D102" s="77"/>
      <c r="E102" s="77"/>
      <c r="F102" s="77"/>
      <c r="G102" s="78"/>
      <c r="H102" s="78"/>
      <c r="I102" s="79"/>
      <c r="J102" s="76"/>
      <c r="K102" s="34"/>
      <c r="L102" s="77"/>
      <c r="M102" s="79"/>
      <c r="N102" s="85"/>
      <c r="O102" s="88"/>
      <c r="P102" s="84"/>
      <c r="Q102" s="91"/>
      <c r="R102" s="82"/>
      <c r="S102" s="78"/>
      <c r="T102" s="34"/>
      <c r="U102" s="34"/>
      <c r="V102" s="34"/>
      <c r="W102" s="86"/>
      <c r="X102" s="82"/>
      <c r="Y102" s="75"/>
      <c r="Z102" s="38"/>
    </row>
    <row r="103" spans="1:26" ht="30" customHeight="1" x14ac:dyDescent="0.25">
      <c r="A103" s="76">
        <v>92</v>
      </c>
      <c r="B103" s="77"/>
      <c r="C103" s="77"/>
      <c r="D103" s="77"/>
      <c r="E103" s="77"/>
      <c r="F103" s="77"/>
      <c r="G103" s="78"/>
      <c r="H103" s="78"/>
      <c r="I103" s="79"/>
      <c r="J103" s="76"/>
      <c r="K103" s="34"/>
      <c r="L103" s="77"/>
      <c r="M103" s="79"/>
      <c r="N103" s="85"/>
      <c r="O103" s="88"/>
      <c r="P103" s="87"/>
      <c r="Q103" s="89"/>
      <c r="R103" s="82"/>
      <c r="S103" s="78"/>
      <c r="T103" s="34"/>
      <c r="U103" s="34"/>
      <c r="V103" s="34"/>
      <c r="W103" s="86"/>
      <c r="X103" s="82"/>
      <c r="Y103" s="75"/>
      <c r="Z103" s="38"/>
    </row>
    <row r="104" spans="1:26" ht="30" customHeight="1" x14ac:dyDescent="0.25">
      <c r="A104" s="76">
        <v>93</v>
      </c>
      <c r="B104" s="77"/>
      <c r="C104" s="77"/>
      <c r="D104" s="77"/>
      <c r="E104" s="77"/>
      <c r="F104" s="77"/>
      <c r="G104" s="78"/>
      <c r="H104" s="78"/>
      <c r="I104" s="79"/>
      <c r="J104" s="76"/>
      <c r="K104" s="34"/>
      <c r="L104" s="77"/>
      <c r="M104" s="79"/>
      <c r="N104" s="85"/>
      <c r="O104" s="88"/>
      <c r="P104" s="84"/>
      <c r="Q104" s="91"/>
      <c r="R104" s="82"/>
      <c r="S104" s="78"/>
      <c r="T104" s="34"/>
      <c r="U104" s="34"/>
      <c r="V104" s="34"/>
      <c r="W104" s="86"/>
      <c r="X104" s="82"/>
      <c r="Y104" s="75"/>
      <c r="Z104" s="38"/>
    </row>
    <row r="105" spans="1:26" ht="30" customHeight="1" x14ac:dyDescent="0.25">
      <c r="A105" s="76">
        <v>94</v>
      </c>
      <c r="B105" s="77"/>
      <c r="C105" s="77"/>
      <c r="D105" s="77"/>
      <c r="E105" s="77"/>
      <c r="F105" s="77"/>
      <c r="G105" s="78"/>
      <c r="H105" s="78"/>
      <c r="I105" s="79"/>
      <c r="J105" s="76"/>
      <c r="K105" s="34"/>
      <c r="L105" s="77"/>
      <c r="M105" s="79"/>
      <c r="N105" s="85"/>
      <c r="O105" s="88"/>
      <c r="P105" s="87"/>
      <c r="Q105" s="89"/>
      <c r="R105" s="82"/>
      <c r="S105" s="78"/>
      <c r="T105" s="34"/>
      <c r="U105" s="34"/>
      <c r="V105" s="34"/>
      <c r="W105" s="86"/>
      <c r="X105" s="82"/>
      <c r="Y105" s="75"/>
      <c r="Z105" s="38"/>
    </row>
    <row r="106" spans="1:26" ht="30" customHeight="1" x14ac:dyDescent="0.25">
      <c r="A106" s="76">
        <v>95</v>
      </c>
      <c r="B106" s="77"/>
      <c r="C106" s="77"/>
      <c r="D106" s="77"/>
      <c r="E106" s="77"/>
      <c r="F106" s="77"/>
      <c r="G106" s="78"/>
      <c r="H106" s="78"/>
      <c r="I106" s="79"/>
      <c r="J106" s="76"/>
      <c r="K106" s="34"/>
      <c r="L106" s="77"/>
      <c r="M106" s="79"/>
      <c r="N106" s="85"/>
      <c r="O106" s="88"/>
      <c r="P106" s="84"/>
      <c r="Q106" s="91"/>
      <c r="R106" s="82"/>
      <c r="S106" s="78"/>
      <c r="T106" s="34"/>
      <c r="U106" s="34"/>
      <c r="V106" s="34"/>
      <c r="W106" s="86"/>
      <c r="X106" s="82"/>
      <c r="Y106" s="75"/>
      <c r="Z106" s="38"/>
    </row>
    <row r="107" spans="1:26" ht="30" customHeight="1" x14ac:dyDescent="0.25">
      <c r="A107" s="76">
        <v>96</v>
      </c>
      <c r="B107" s="77"/>
      <c r="C107" s="77"/>
      <c r="D107" s="77"/>
      <c r="E107" s="77"/>
      <c r="F107" s="77"/>
      <c r="G107" s="78"/>
      <c r="H107" s="78"/>
      <c r="I107" s="79"/>
      <c r="J107" s="76"/>
      <c r="K107" s="34"/>
      <c r="L107" s="77"/>
      <c r="M107" s="79"/>
      <c r="N107" s="85"/>
      <c r="O107" s="88"/>
      <c r="P107" s="87"/>
      <c r="Q107" s="89"/>
      <c r="R107" s="82"/>
      <c r="S107" s="78"/>
      <c r="T107" s="34"/>
      <c r="U107" s="34"/>
      <c r="V107" s="34"/>
      <c r="W107" s="86"/>
      <c r="X107" s="82"/>
      <c r="Y107" s="75"/>
      <c r="Z107" s="38"/>
    </row>
    <row r="108" spans="1:26" ht="30" customHeight="1" x14ac:dyDescent="0.25">
      <c r="A108" s="76">
        <v>97</v>
      </c>
      <c r="B108" s="77"/>
      <c r="C108" s="77"/>
      <c r="D108" s="77"/>
      <c r="E108" s="77"/>
      <c r="F108" s="77"/>
      <c r="G108" s="78"/>
      <c r="H108" s="78"/>
      <c r="I108" s="79"/>
      <c r="J108" s="76"/>
      <c r="K108" s="34"/>
      <c r="L108" s="77"/>
      <c r="M108" s="79"/>
      <c r="N108" s="85"/>
      <c r="O108" s="88"/>
      <c r="P108" s="84"/>
      <c r="Q108" s="91"/>
      <c r="R108" s="82"/>
      <c r="S108" s="78"/>
      <c r="T108" s="34"/>
      <c r="U108" s="34"/>
      <c r="V108" s="34"/>
      <c r="W108" s="86"/>
      <c r="X108" s="82"/>
      <c r="Y108" s="75"/>
      <c r="Z108" s="38"/>
    </row>
    <row r="109" spans="1:26" ht="30" customHeight="1" x14ac:dyDescent="0.25">
      <c r="A109" s="76">
        <v>98</v>
      </c>
      <c r="B109" s="77"/>
      <c r="C109" s="77"/>
      <c r="D109" s="77"/>
      <c r="E109" s="77"/>
      <c r="F109" s="77"/>
      <c r="G109" s="78"/>
      <c r="H109" s="78"/>
      <c r="I109" s="79"/>
      <c r="J109" s="76"/>
      <c r="K109" s="34"/>
      <c r="L109" s="77"/>
      <c r="M109" s="79"/>
      <c r="N109" s="85"/>
      <c r="O109" s="88"/>
      <c r="P109" s="87"/>
      <c r="Q109" s="89"/>
      <c r="R109" s="82"/>
      <c r="S109" s="78"/>
      <c r="T109" s="34"/>
      <c r="U109" s="34"/>
      <c r="V109" s="34"/>
      <c r="W109" s="86"/>
      <c r="X109" s="82"/>
      <c r="Y109" s="75"/>
      <c r="Z109" s="38"/>
    </row>
    <row r="110" spans="1:26" ht="30" customHeight="1" x14ac:dyDescent="0.25">
      <c r="A110" s="76">
        <v>99</v>
      </c>
      <c r="B110" s="77"/>
      <c r="C110" s="77"/>
      <c r="D110" s="77"/>
      <c r="E110" s="77"/>
      <c r="F110" s="77"/>
      <c r="G110" s="78"/>
      <c r="H110" s="78"/>
      <c r="I110" s="79"/>
      <c r="J110" s="76"/>
      <c r="K110" s="34"/>
      <c r="L110" s="77"/>
      <c r="M110" s="79"/>
      <c r="N110" s="85"/>
      <c r="O110" s="88"/>
      <c r="P110" s="84"/>
      <c r="Q110" s="91"/>
      <c r="R110" s="82"/>
      <c r="S110" s="78"/>
      <c r="T110" s="34"/>
      <c r="U110" s="34"/>
      <c r="V110" s="34"/>
      <c r="W110" s="86"/>
      <c r="X110" s="82"/>
      <c r="Y110" s="75"/>
      <c r="Z110" s="38"/>
    </row>
    <row r="111" spans="1:26" ht="30" customHeight="1" x14ac:dyDescent="0.25">
      <c r="A111" s="76">
        <v>100</v>
      </c>
      <c r="B111" s="77"/>
      <c r="C111" s="77"/>
      <c r="D111" s="77"/>
      <c r="E111" s="77"/>
      <c r="F111" s="77"/>
      <c r="G111" s="78"/>
      <c r="H111" s="78"/>
      <c r="I111" s="79"/>
      <c r="J111" s="76"/>
      <c r="K111" s="34"/>
      <c r="L111" s="77"/>
      <c r="M111" s="79"/>
      <c r="N111" s="85"/>
      <c r="O111" s="88"/>
      <c r="P111" s="87"/>
      <c r="Q111" s="89"/>
      <c r="R111" s="82"/>
      <c r="S111" s="78"/>
      <c r="T111" s="34"/>
      <c r="U111" s="34"/>
      <c r="V111" s="34"/>
      <c r="W111" s="86"/>
      <c r="X111" s="82"/>
      <c r="Y111" s="75"/>
      <c r="Z111" s="38"/>
    </row>
    <row r="112" spans="1:26" ht="30" customHeight="1" x14ac:dyDescent="0.25">
      <c r="A112" s="76">
        <v>101</v>
      </c>
      <c r="B112" s="77"/>
      <c r="C112" s="77"/>
      <c r="D112" s="77"/>
      <c r="E112" s="77"/>
      <c r="F112" s="77"/>
      <c r="G112" s="78"/>
      <c r="H112" s="78"/>
      <c r="I112" s="79"/>
      <c r="J112" s="76"/>
      <c r="K112" s="34"/>
      <c r="L112" s="77"/>
      <c r="M112" s="79"/>
      <c r="N112" s="85"/>
      <c r="O112" s="88"/>
      <c r="P112" s="84"/>
      <c r="Q112" s="91"/>
      <c r="R112" s="82"/>
      <c r="S112" s="78"/>
      <c r="T112" s="34"/>
      <c r="U112" s="34"/>
      <c r="V112" s="34"/>
      <c r="W112" s="86"/>
      <c r="X112" s="82"/>
      <c r="Y112" s="75"/>
      <c r="Z112" s="38"/>
    </row>
    <row r="113" spans="1:26" ht="30" customHeight="1" x14ac:dyDescent="0.25">
      <c r="A113" s="76">
        <v>102</v>
      </c>
      <c r="B113" s="77"/>
      <c r="C113" s="77"/>
      <c r="D113" s="77"/>
      <c r="E113" s="77"/>
      <c r="F113" s="77"/>
      <c r="G113" s="78"/>
      <c r="H113" s="78"/>
      <c r="I113" s="79"/>
      <c r="J113" s="76"/>
      <c r="K113" s="34"/>
      <c r="L113" s="77"/>
      <c r="M113" s="79"/>
      <c r="N113" s="85"/>
      <c r="O113" s="88"/>
      <c r="P113" s="87"/>
      <c r="Q113" s="89"/>
      <c r="R113" s="82"/>
      <c r="S113" s="78"/>
      <c r="T113" s="34"/>
      <c r="U113" s="34"/>
      <c r="V113" s="34"/>
      <c r="W113" s="86"/>
      <c r="X113" s="82"/>
      <c r="Y113" s="75"/>
      <c r="Z113" s="38"/>
    </row>
    <row r="114" spans="1:26" ht="30" customHeight="1" x14ac:dyDescent="0.25">
      <c r="A114" s="76">
        <v>103</v>
      </c>
      <c r="B114" s="77"/>
      <c r="C114" s="77"/>
      <c r="D114" s="77"/>
      <c r="E114" s="77"/>
      <c r="F114" s="77"/>
      <c r="G114" s="78"/>
      <c r="H114" s="78"/>
      <c r="I114" s="79"/>
      <c r="J114" s="76"/>
      <c r="K114" s="34"/>
      <c r="L114" s="77"/>
      <c r="M114" s="79"/>
      <c r="N114" s="85"/>
      <c r="O114" s="88"/>
      <c r="P114" s="84"/>
      <c r="Q114" s="91"/>
      <c r="R114" s="82"/>
      <c r="S114" s="78"/>
      <c r="T114" s="34"/>
      <c r="U114" s="34"/>
      <c r="V114" s="34"/>
      <c r="W114" s="86"/>
      <c r="X114" s="82"/>
      <c r="Y114" s="75"/>
      <c r="Z114" s="38"/>
    </row>
    <row r="115" spans="1:26" ht="30" customHeight="1" x14ac:dyDescent="0.25">
      <c r="A115" s="76">
        <v>104</v>
      </c>
      <c r="B115" s="77"/>
      <c r="C115" s="77"/>
      <c r="D115" s="77"/>
      <c r="E115" s="77"/>
      <c r="F115" s="77"/>
      <c r="G115" s="78"/>
      <c r="H115" s="78"/>
      <c r="I115" s="79"/>
      <c r="J115" s="76"/>
      <c r="K115" s="34"/>
      <c r="L115" s="77"/>
      <c r="M115" s="79"/>
      <c r="N115" s="85"/>
      <c r="O115" s="88"/>
      <c r="P115" s="87"/>
      <c r="Q115" s="89"/>
      <c r="R115" s="82"/>
      <c r="S115" s="78"/>
      <c r="T115" s="34"/>
      <c r="U115" s="34"/>
      <c r="V115" s="34"/>
      <c r="W115" s="86"/>
      <c r="X115" s="82"/>
      <c r="Y115" s="75"/>
      <c r="Z115" s="38"/>
    </row>
    <row r="116" spans="1:26" ht="30" customHeight="1" x14ac:dyDescent="0.25">
      <c r="A116" s="76">
        <v>105</v>
      </c>
      <c r="B116" s="77"/>
      <c r="C116" s="77"/>
      <c r="D116" s="77"/>
      <c r="E116" s="77"/>
      <c r="F116" s="77"/>
      <c r="G116" s="78"/>
      <c r="H116" s="78"/>
      <c r="I116" s="79"/>
      <c r="J116" s="76"/>
      <c r="K116" s="34"/>
      <c r="L116" s="77"/>
      <c r="M116" s="79"/>
      <c r="N116" s="85"/>
      <c r="O116" s="88"/>
      <c r="P116" s="84"/>
      <c r="Q116" s="91"/>
      <c r="R116" s="82"/>
      <c r="S116" s="78"/>
      <c r="T116" s="34"/>
      <c r="U116" s="34"/>
      <c r="V116" s="34"/>
      <c r="W116" s="86"/>
      <c r="X116" s="82"/>
      <c r="Y116" s="75"/>
      <c r="Z116" s="38"/>
    </row>
    <row r="117" spans="1:26" ht="30" customHeight="1" x14ac:dyDescent="0.25">
      <c r="A117" s="76">
        <v>106</v>
      </c>
      <c r="B117" s="77"/>
      <c r="C117" s="77"/>
      <c r="D117" s="77"/>
      <c r="E117" s="77"/>
      <c r="F117" s="77"/>
      <c r="G117" s="78"/>
      <c r="H117" s="78"/>
      <c r="I117" s="79"/>
      <c r="J117" s="76"/>
      <c r="K117" s="34"/>
      <c r="L117" s="77"/>
      <c r="M117" s="79"/>
      <c r="N117" s="85"/>
      <c r="O117" s="88"/>
      <c r="P117" s="87"/>
      <c r="Q117" s="89"/>
      <c r="R117" s="82"/>
      <c r="S117" s="78"/>
      <c r="T117" s="34"/>
      <c r="U117" s="34"/>
      <c r="V117" s="34"/>
      <c r="W117" s="86"/>
      <c r="X117" s="82"/>
      <c r="Y117" s="75"/>
      <c r="Z117" s="38"/>
    </row>
    <row r="118" spans="1:26" ht="30" customHeight="1" x14ac:dyDescent="0.25">
      <c r="A11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30" customHeight="1" x14ac:dyDescent="0.25">
      <c r="A119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30" customHeight="1" x14ac:dyDescent="0.25">
      <c r="A120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30" customHeight="1" x14ac:dyDescent="0.25">
      <c r="A121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30" customHeight="1" x14ac:dyDescent="0.25">
      <c r="A12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30" customHeight="1" x14ac:dyDescent="0.25">
      <c r="A123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30" customHeight="1" x14ac:dyDescent="0.25">
      <c r="A124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30" customHeight="1" x14ac:dyDescent="0.25">
      <c r="A125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30" customHeight="1" x14ac:dyDescent="0.25">
      <c r="A126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30" customHeight="1" x14ac:dyDescent="0.25">
      <c r="A12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30" customHeight="1" x14ac:dyDescent="0.25">
      <c r="A12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30" customHeight="1" x14ac:dyDescent="0.25">
      <c r="A129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30" customHeight="1" x14ac:dyDescent="0.25">
      <c r="A130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30" customHeight="1" x14ac:dyDescent="0.25">
      <c r="A131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30" customHeight="1" x14ac:dyDescent="0.25">
      <c r="A13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5">
      <c r="A133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5">
      <c r="A134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5">
      <c r="A135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5">
      <c r="A136"/>
      <c r="B136"/>
      <c r="C136"/>
      <c r="D136"/>
      <c r="E136"/>
      <c r="F136"/>
      <c r="G136"/>
      <c r="H136"/>
      <c r="I136"/>
      <c r="N136"/>
      <c r="O136"/>
      <c r="Q136"/>
      <c r="R136"/>
      <c r="S136"/>
      <c r="T136"/>
      <c r="U136"/>
      <c r="V136"/>
      <c r="W136"/>
    </row>
    <row r="137" spans="1:26" x14ac:dyDescent="0.25">
      <c r="A137"/>
      <c r="B137"/>
      <c r="C137"/>
      <c r="D137"/>
      <c r="E137"/>
      <c r="F137"/>
      <c r="G137"/>
      <c r="H137"/>
      <c r="I137"/>
      <c r="N137"/>
      <c r="O137"/>
      <c r="Q137"/>
      <c r="R137"/>
      <c r="S137"/>
      <c r="T137"/>
      <c r="U137"/>
      <c r="V137"/>
      <c r="W137"/>
    </row>
  </sheetData>
  <autoFilter ref="A11:Y60" xr:uid="{00000000-0009-0000-0000-000000000000}"/>
  <mergeCells count="4">
    <mergeCell ref="X10:Y10"/>
    <mergeCell ref="R10:W10"/>
    <mergeCell ref="R8:W8"/>
    <mergeCell ref="A10:Q10"/>
  </mergeCells>
  <pageMargins left="0.44" right="0.25" top="0.75" bottom="0.75" header="0.3" footer="0.3"/>
  <pageSetup paperSize="8" scale="50" fitToHeight="0" orientation="landscape" r:id="rId1"/>
  <ignoredErrors>
    <ignoredError sqref="I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Haltungen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Aschwanden</dc:creator>
  <cp:lastModifiedBy>Pascal Aschwanden</cp:lastModifiedBy>
  <cp:lastPrinted>2026-01-16T07:04:20Z</cp:lastPrinted>
  <dcterms:created xsi:type="dcterms:W3CDTF">2022-12-04T08:38:18Z</dcterms:created>
  <dcterms:modified xsi:type="dcterms:W3CDTF">2026-01-28T12:27:50Z</dcterms:modified>
</cp:coreProperties>
</file>