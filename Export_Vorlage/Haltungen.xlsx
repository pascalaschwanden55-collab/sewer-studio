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drawings/drawing3.xml" ContentType="application/vnd.openxmlformats-officedocument.drawingml.chartshapes+xml"/>
  <Override PartName="/xl/drawings/drawing4.xml" ContentType="application/vnd.openxmlformats-officedocument.drawingml.chartshapes+xml"/>
  <Override PartName="/xl/drawings/drawing5.xml" ContentType="application/vnd.openxmlformats-officedocument.drawingml.chartshapes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ltungen" sheetId="1" state="visible" r:id="rId3"/>
  </sheets>
  <definedNames>
    <definedName function="false" hidden="true" localSheetId="0" name="_xlnm._FilterDatabase" vbProcedure="false">Haltungen!$A$11:$Y$117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<sst xmlns="http://schemas.openxmlformats.org/spreadsheetml/2006/main" count="57" uniqueCount="55">
  <si>
    <t xml:space="preserve">Polypropylen</t>
  </si>
  <si>
    <t xml:space="preserve">STZ</t>
  </si>
  <si>
    <t xml:space="preserve">SBR</t>
  </si>
  <si>
    <t xml:space="preserve">Ja</t>
  </si>
  <si>
    <t xml:space="preserve">Nein</t>
  </si>
  <si>
    <t xml:space="preserve">Polyvinylchlorid</t>
  </si>
  <si>
    <t xml:space="preserve">Prüfung bestanden</t>
  </si>
  <si>
    <t xml:space="preserve">Kanton</t>
  </si>
  <si>
    <t xml:space="preserve">HDPE</t>
  </si>
  <si>
    <t xml:space="preserve">Prüfung knapp nicht bestanden</t>
  </si>
  <si>
    <t xml:space="preserve">Bund</t>
  </si>
  <si>
    <t xml:space="preserve">AWU</t>
  </si>
  <si>
    <t xml:space="preserve">Abwasser Uri</t>
  </si>
  <si>
    <t xml:space="preserve">Polyethylen</t>
  </si>
  <si>
    <t xml:space="preserve">Prüfung nicht bestanden (grob undicht)</t>
  </si>
  <si>
    <t xml:space="preserve">Nr.</t>
  </si>
  <si>
    <t xml:space="preserve">Sanierer</t>
  </si>
  <si>
    <t xml:space="preserve">Beton</t>
  </si>
  <si>
    <t xml:space="preserve">Keine</t>
  </si>
  <si>
    <t xml:space="preserve">Gemeinde</t>
  </si>
  <si>
    <t xml:space="preserve">Sanierungsmassnahmen</t>
  </si>
  <si>
    <t xml:space="preserve">offen</t>
  </si>
  <si>
    <t xml:space="preserve">Baumeister</t>
  </si>
  <si>
    <t xml:space="preserve">Zement</t>
  </si>
  <si>
    <t xml:space="preserve">OB</t>
  </si>
  <si>
    <t xml:space="preserve">Privat</t>
  </si>
  <si>
    <t xml:space="preserve">abgeschlossen</t>
  </si>
  <si>
    <t xml:space="preserve">Auswertung Seitenanschlüsse Klausenstrasse Private/ Aufnahmen 2025 Haltungen</t>
  </si>
  <si>
    <t xml:space="preserve">Ausmass</t>
  </si>
  <si>
    <t xml:space="preserve">Status</t>
  </si>
  <si>
    <t xml:space="preserve">NR.</t>
  </si>
  <si>
    <t xml:space="preserve">Haltungsnahme (ID)</t>
  </si>
  <si>
    <t xml:space="preserve">Strasse</t>
  </si>
  <si>
    <t xml:space="preserve">Rohrmaterial</t>
  </si>
  <si>
    <t xml:space="preserve">DN mm</t>
  </si>
  <si>
    <t xml:space="preserve">Nutzungsart</t>
  </si>
  <si>
    <t xml:space="preserve">Haltungslänge m</t>
  </si>
  <si>
    <t xml:space="preserve">Inspektionsrichtung</t>
  </si>
  <si>
    <t xml:space="preserve">Primäre Schäden</t>
  </si>
  <si>
    <t xml:space="preserve">Zustandsklasse</t>
  </si>
  <si>
    <t xml:space="preserve">Prüfungsresultat </t>
  </si>
  <si>
    <t xml:space="preserve">Sanieren Ja/Nein</t>
  </si>
  <si>
    <t xml:space="preserve">Empfohlene Sanierungsmassnahmen</t>
  </si>
  <si>
    <t xml:space="preserve">Kosten</t>
  </si>
  <si>
    <t xml:space="preserve">Eigentümer</t>
  </si>
  <si>
    <t xml:space="preserve">Bemerkungen</t>
  </si>
  <si>
    <t xml:space="preserve">Link</t>
  </si>
  <si>
    <t xml:space="preserve">Renovierung Inliner Stk.</t>
  </si>
  <si>
    <t xml:space="preserve">Renovierung Inliner m</t>
  </si>
  <si>
    <t xml:space="preserve">Anschlüsse verpressen</t>
  </si>
  <si>
    <t xml:space="preserve">Reparatur Manschette</t>
  </si>
  <si>
    <t xml:space="preserve">Reparatur Kurzliner</t>
  </si>
  <si>
    <t xml:space="preserve">Erneuerung Neubau m</t>
  </si>
  <si>
    <t xml:space="preserve">offen/abgeschlossen</t>
  </si>
  <si>
    <t xml:space="preserve">Datum/Jahr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</si>
</sst>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_ &quot;CHF &quot;* #,##0.00_ ;_ &quot;CHF &quot;* \-#,##0.00_ ;_ &quot;CHF &quot;* \-??_ ;_ @_ 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20"/>
      <color theme="1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8"/>
      <color theme="0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9"/>
      <color theme="1"/>
      <name val="Arial"/>
      <family val="2"/>
      <charset val="1"/>
    </font>
    <font>
      <sz val="9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u val="single"/>
      <sz val="9"/>
      <color theme="10"/>
      <name val="Arial"/>
      <family val="2"/>
      <charset val="1"/>
    </font>
    <font>
      <sz val="8"/>
      <name val="Arial"/>
      <family val="2"/>
      <charset val="1"/>
    </font>
    <font>
      <u val="single"/>
      <sz val="8"/>
      <color theme="10"/>
      <name val="Arial"/>
      <family val="2"/>
      <charset val="1"/>
    </font>
    <font>
      <sz val="10"/>
      <name val="Times New Roman"/>
      <family val="1"/>
    </font>
    <font>
      <b val="true"/>
      <sz val="10"/>
      <color rgb="FF595959"/>
      <name val="Calibri"/>
      <family val="2"/>
    </font>
    <font>
      <b val="true"/>
      <sz val="9"/>
      <color rgb="FF000000"/>
      <name val="Calibri"/>
      <family val="2"/>
    </font>
    <font>
      <sz val="10"/>
      <color theme="1"/>
      <name val="Calibri"/>
      <family val="0"/>
    </font>
    <font>
      <b val="true"/>
      <sz val="9"/>
      <color rgb="FFFFFFFF"/>
      <name val="Calibri"/>
      <family val="2"/>
    </font>
    <font>
      <sz val="11"/>
      <name val="Times New Roman"/>
      <family val="1"/>
    </font>
    <font>
      <sz val="11"/>
      <color theme="1"/>
      <name val="Calibri"/>
      <family val="0"/>
    </font>
    <font>
      <b val="true"/>
      <sz val="10"/>
      <color rgb="FF000000"/>
      <name val="Calibri"/>
      <family val="0"/>
    </font>
    <font>
      <b val="true"/>
      <sz val="10"/>
      <color theme="0"/>
      <name val="Calibri"/>
      <family val="0"/>
    </font>
  </fonts>
  <fills count="23">
    <fill>
      <patternFill patternType="none"/>
    </fill>
    <fill>
      <patternFill patternType="gray125"/>
    </fill>
    <fill>
      <patternFill patternType="solid">
        <fgColor theme="9"/>
        <bgColor rgb="FFA5A832"/>
      </patternFill>
    </fill>
    <fill>
      <patternFill patternType="solid">
        <fgColor theme="5" tint="0.3999"/>
        <bgColor rgb="FFFFD966"/>
      </patternFill>
    </fill>
    <fill>
      <patternFill patternType="solid">
        <fgColor theme="3" tint="0.3999"/>
        <bgColor rgb="FFA6A6A6"/>
      </patternFill>
    </fill>
    <fill>
      <patternFill patternType="solid">
        <fgColor rgb="FFFF6600"/>
        <bgColor rgb="FFED7D31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D966"/>
      </patternFill>
    </fill>
    <fill>
      <patternFill patternType="solid">
        <fgColor theme="0" tint="-0.15"/>
        <bgColor rgb="FFD0CECE"/>
      </patternFill>
    </fill>
    <fill>
      <patternFill patternType="solid">
        <fgColor theme="9" tint="-0.25"/>
        <bgColor rgb="FF767171"/>
      </patternFill>
    </fill>
    <fill>
      <patternFill patternType="solid">
        <fgColor theme="1"/>
        <bgColor rgb="FF003300"/>
      </patternFill>
    </fill>
    <fill>
      <patternFill patternType="solid">
        <fgColor theme="7" tint="-0.25"/>
        <bgColor rgb="FFA5A832"/>
      </patternFill>
    </fill>
    <fill>
      <patternFill patternType="solid">
        <fgColor theme="0" tint="-0.5"/>
        <bgColor rgb="FF767171"/>
      </patternFill>
    </fill>
    <fill>
      <patternFill patternType="solid">
        <fgColor rgb="FFAEB135"/>
        <bgColor rgb="FFA5A832"/>
      </patternFill>
    </fill>
    <fill>
      <patternFill patternType="solid">
        <fgColor rgb="FF00B0F0"/>
        <bgColor rgb="FF0070C0"/>
      </patternFill>
    </fill>
    <fill>
      <patternFill patternType="solid">
        <fgColor theme="9" tint="0.3999"/>
        <bgColor rgb="FF92D050"/>
      </patternFill>
    </fill>
    <fill>
      <patternFill patternType="solid">
        <fgColor rgb="FF0070C0"/>
        <bgColor rgb="FF0563C1"/>
      </patternFill>
    </fill>
    <fill>
      <patternFill patternType="solid">
        <fgColor theme="0" tint="-0.35"/>
        <bgColor rgb="FFAFABAB"/>
      </patternFill>
    </fill>
    <fill>
      <patternFill patternType="solid">
        <fgColor theme="7" tint="0.3999"/>
        <bgColor rgb="FFF4B183"/>
      </patternFill>
    </fill>
    <fill>
      <patternFill patternType="solid">
        <fgColor rgb="FF92D050"/>
        <bgColor rgb="FFA9D18E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D0CECE"/>
      </patternFill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1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1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1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1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1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21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1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1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1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1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2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2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3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2" borderId="5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4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22" borderId="1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2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2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7" fillId="2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2" borderId="1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4">
    <dxf>
      <fill>
        <patternFill patternType="solid">
          <fgColor rgb="FFB4C7E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70C0"/>
      <rgbColor rgb="FFD0CECE"/>
      <rgbColor rgb="FF808080"/>
      <rgbColor rgb="FFA6A6A6"/>
      <rgbColor rgb="FF993366"/>
      <rgbColor rgb="FFFFFFCC"/>
      <rgbColor rgb="FFCCFFFF"/>
      <rgbColor rgb="FF660066"/>
      <rgbColor rgb="FFED7D31"/>
      <rgbColor rgb="FF0563C1"/>
      <rgbColor rgb="FFB4C7E7"/>
      <rgbColor rgb="FF000080"/>
      <rgbColor rgb="FFFF00FF"/>
      <rgbColor rgb="FFA5A832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F99"/>
      <rgbColor rgb="FFA9D18E"/>
      <rgbColor rgb="FFF4B183"/>
      <rgbColor rgb="FFAFABAB"/>
      <rgbColor rgb="FFFFD966"/>
      <rgbColor rgb="FF4472C4"/>
      <rgbColor rgb="FF70AD47"/>
      <rgbColor rgb="FF92D050"/>
      <rgbColor rgb="FFAEB135"/>
      <rgbColor rgb="FFBF9000"/>
      <rgbColor rgb="FFFF6600"/>
      <rgbColor rgb="FF767171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openxmlformats.org/officeDocument/2006/relationships/chartUserShapes" Target="../drawings/drawing2.xml"/><Relationship Id="rId2" Type="http://schemas.microsoft.com/office/2011/relationships/chartStyle" Target="style1.xml"/><Relationship Id="rId3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openxmlformats.org/officeDocument/2006/relationships/chartUserShapes" Target="../drawings/drawing3.xml"/><Relationship Id="rId2" Type="http://schemas.microsoft.com/office/2011/relationships/chartStyle" Target="style3.xml"/><Relationship Id="rId3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<Relationship Id="rId2" Type="http://schemas.microsoft.com/office/2011/relationships/chartStyle" Target="style4.xml"/><Relationship Id="rId3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openxmlformats.org/officeDocument/2006/relationships/chartUserShapes" Target="../drawings/drawing5.xml"/><Relationship Id="rId2" Type="http://schemas.microsoft.com/office/2011/relationships/chartStyle" Target="style5.xml"/><Relationship Id="rId3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Zustandsklassen </a:t>
            </a:r>
          </a:p>
        </c:rich>
      </c:tx>
      <c:layout>
        <c:manualLayout>
          <c:xMode val="edge"/>
          <c:yMode val="edge"/>
          <c:x val="0.308625457140309"/>
          <c:y val="0.0059910134797803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93203104094193"/>
          <c:y val="0.240472624396738"/>
          <c:w val="0.56025332262956"/>
          <c:h val="0.62656015976036"/>
        </c:manualLayout>
      </c:layout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66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FF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5A83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70AD4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layout>
                <c:manualLayout>
                  <c:x val="0.0694311983471074"/>
                  <c:y val="0.0302480405819105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2"/>
              <c:layout>
                <c:manualLayout>
                  <c:x val="-0.0367355371900826"/>
                  <c:y val="-0.0297802921373011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layout>
                <c:manualLayout>
                  <c:x val="0.0677574380165289"/>
                  <c:y val="-0.0113446313283409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tx1"/>
                    </a:solidFill>
                    <a:uFillTx/>
                    <a:latin typeface="Calibri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Haltungen!$I$5:$I$9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130"/>
      </c:pieChart>
      <c:spPr>
        <a:noFill/>
        <a:ln w="0">
          <a:noFill/>
        </a:ln>
      </c:spPr>
    </c:plotArea>
    <c:plotVisOnly val="1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Dichtheitsprüfungsresultat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16095380029806"/>
          <c:y val="0.219271877087508"/>
          <c:w val="0.548584202682563"/>
          <c:h val="0.65313961255845"/>
        </c:manualLayout>
      </c:layout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70AD4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FF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FFFFFF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0.104064828614009"/>
                  <c:y val="0.0600505428183718"/>
                </c:manualLayout>
              </c:layout>
              <c:tx>
                <c:rich>
                  <a:bodyPr/>
                  <a:p>
                    <a:fld id="{9EB4A293-8085-4ED9-86AA-574AC64D48C4}" type="VALUE"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[WERT]</a:t>
                    </a:fld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; </a:t>
                    </a:r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[PROZENTSATZ]</a:t>
                    </a:r>
                  </a:p>
                </c:rich>
              </c:tx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-0.0434964398079152"/>
                  <c:y val="-0.097176693714609"/>
                </c:manualLayout>
              </c:layout>
              <c:tx>
                <c:rich>
                  <a:bodyPr/>
                  <a:p>
                    <a:fld id="{CDD04384-74FD-41E6-A585-3FC877151405}" type="VALUE"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34</a:t>
                    </a:fld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; </a:t>
                    </a:r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100%</a:t>
                    </a:r>
                  </a:p>
                </c:rich>
              </c:tx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Haltungen!$L$5:$L$8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121"/>
      </c:pieChart>
      <c:spPr>
        <a:noFill/>
        <a:ln w="0">
          <a:noFill/>
        </a:ln>
      </c:spPr>
    </c:plotArea>
    <c:plotVisOnly val="1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Sanieren Ja/Nein</a:t>
            </a:r>
          </a:p>
        </c:rich>
      </c:tx>
      <c:layout>
        <c:manualLayout>
          <c:xMode val="edge"/>
          <c:yMode val="edge"/>
          <c:x val="0.328697725240886"/>
          <c:y val="0.011651131824234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14562431707559"/>
          <c:y val="0.230525965379494"/>
          <c:w val="0.559849011622132"/>
          <c:h val="0.625998668442077"/>
        </c:manualLayout>
      </c:layout>
      <c:pieChart>
        <c:varyColors val="1"/>
        <c:ser>
          <c:idx val="0"/>
          <c:order val="0"/>
          <c:spPr>
            <a:solidFill>
              <a:srgbClr val="70AD47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0AD47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-0.0539700714816152"/>
                  <c:y val="-0.0252473678325246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layout>
                <c:manualLayout>
                  <c:x val="0.238991422222093"/>
                  <c:y val="0.143102653512384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tx1"/>
                    </a:solidFill>
                    <a:uFillTx/>
                    <a:latin typeface="Calibri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Haltungen!$I$4,Haltungen!$L$4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143"/>
      </c:pieChart>
      <c:spPr>
        <a:noFill/>
        <a:ln w="0">
          <a:noFill/>
        </a:ln>
      </c:spPr>
    </c:plotArea>
    <c:plotVisOnly val="1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Rohrmaterial</a:t>
            </a:r>
          </a:p>
        </c:rich>
      </c:tx>
      <c:layout>
        <c:manualLayout>
          <c:xMode val="edge"/>
          <c:yMode val="edge"/>
          <c:x val="0.345206391478029"/>
          <c:y val="0.0078385590393595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03772747448"/>
          <c:y val="0.200967311541027"/>
          <c:w val="0.568908122503329"/>
          <c:h val="0.663442294863242"/>
        </c:manualLayout>
      </c:layout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70AD4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4B183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B0F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FF66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0CECE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767171"/>
              </a:solidFill>
              <a:ln w="0">
                <a:noFill/>
              </a:ln>
            </c:spPr>
          </c:dPt>
          <c:dPt>
            <c:idx val="7"/>
            <c:spPr>
              <a:solidFill>
                <a:srgbClr val="AFABAB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0.0407391109714165"/>
                  <c:y val="0.0316876955898328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layout>
                <c:manualLayout>
                  <c:x val="-0.00544083619549348"/>
                  <c:y val="-0.0659259259259259"/>
                </c:manualLayout>
              </c:layout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tx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tx1"/>
                    </a:solidFill>
                    <a:uFillTx/>
                    <a:latin typeface="Calibri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Haltungen!$E$2:$E$9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90"/>
      </c:pieChart>
      <c:spPr>
        <a:noFill/>
        <a:ln w="0">
          <a:noFill/>
        </a:ln>
      </c:spPr>
    </c:plotArea>
    <c:plotVisOnly val="0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Eigentum</a:t>
            </a:r>
          </a:p>
        </c:rich>
      </c:tx>
      <c:layout>
        <c:manualLayout>
          <c:xMode val="edge"/>
          <c:yMode val="edge"/>
          <c:x val="0.428772127001967"/>
          <c:y val="0.027851901267511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10873840966564"/>
          <c:y val="0.246664442961975"/>
          <c:w val="0.594689519527957"/>
          <c:h val="0.63559039359573"/>
        </c:manualLayout>
      </c:layout>
      <c:pieChart>
        <c:varyColors val="1"/>
        <c:ser>
          <c:idx val="0"/>
          <c:order val="0"/>
          <c:spPr>
            <a:solidFill>
              <a:srgbClr val="54823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548235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48235"/>
              </a:solidFill>
              <a:ln w="0">
                <a:noFill/>
              </a:ln>
            </c:spPr>
          </c:dPt>
          <c:dPt>
            <c:idx val="2"/>
            <c:spPr>
              <a:solidFill>
                <a:srgbClr val="548235"/>
              </a:solidFill>
              <a:ln w="0">
                <a:noFill/>
              </a:ln>
            </c:spPr>
          </c:dPt>
          <c:dPt>
            <c:idx val="3"/>
            <c:spPr>
              <a:solidFill>
                <a:srgbClr val="548235"/>
              </a:solidFill>
              <a:ln w="0">
                <a:noFill/>
              </a:ln>
            </c:spPr>
          </c:dPt>
          <c:dPt>
            <c:idx val="4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layout>
                <c:manualLayout>
                  <c:x val="0.00452795632155055"/>
                  <c:y val="-0.075176603318323"/>
                </c:manualLayout>
              </c:layout>
              <c:tx>
                <c:rich>
                  <a:bodyPr/>
                  <a:p>
                    <a:fld id="{365EA99A-2EED-43BD-AEF5-78AD96779BEE}" type="VALUE"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[WERT]</a:t>
                    </a:fld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; </a:t>
                    </a:r>
                    <a:r>
                      <a:rPr lang="en-US" sz="900" b="0" u="none" strike="noStrike">
                        <a:solidFill>
                          <a:srgbClr val="000000"/>
                        </a:solidFill>
                        <a:uFillTx/>
                        <a:latin typeface="Calibri"/>
                      </a:rPr>
                      <a:t>[PROZENTSATZ]</a:t>
                    </a:r>
                  </a:p>
                </c:rich>
              </c:tx>
              <c:numFmt formatCode="General" sourceLinked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Haltungen!$N$5:$N$9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124"/>
      </c:pieChart>
      <c:spPr>
        <a:noFill/>
        <a:ln w="0">
          <a:noFill/>
        </a:ln>
      </c:spPr>
    </c:plotArea>
    <c:plotVisOnly val="1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CH" sz="10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Sanierungsstatus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48671625929862"/>
          <c:y val="0.215158106073281"/>
          <c:w val="0.564647538080057"/>
          <c:h val="0.639116613685796"/>
        </c:manualLayout>
      </c:layout>
      <c:pieChart>
        <c:varyColors val="1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B05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D7D31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900" b="1" u="none" strike="noStrike">
                      <a:solidFill>
                        <a:schemeClr val="bg1"/>
                      </a:solidFill>
                      <a:uFillTx/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90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dk1">
                      <a:lumMod val="35000"/>
                      <a:lumOff val="65000"/>
                    </a:schemeClr>
                  </a:solidFill>
                </a:ln>
              </c:spPr>
            </c:leaderLines>
          </c:dLbls>
          <c:val>
            <c:numRef>
              <c:f>Haltungen!$Y$8:$Y$9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plotVisOnly val="1"/>
    <c:dispBlanksAs val="gap"/>
  </c:chart>
  <c:spPr>
    <a:pattFill prst="ltDnDiag">
      <a:fgClr>
        <a:srgbClr val="F2F2F2"/>
      </a:fgClr>
      <a:bgClr>
        <a:srgbClr val="FFFFFF"/>
      </a:bgClr>
    </a:patt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9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image" Target="../media/image1.png"/><Relationship Id="rId7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731520</xdr:colOff>
      <xdr:row>0</xdr:row>
      <xdr:rowOff>39240</xdr:rowOff>
    </xdr:from>
    <xdr:to>
      <xdr:col>10</xdr:col>
      <xdr:colOff>537840</xdr:colOff>
      <xdr:row>1</xdr:row>
      <xdr:rowOff>335160</xdr:rowOff>
    </xdr:to>
    <xdr:graphicFrame>
      <xdr:nvGraphicFramePr>
        <xdr:cNvPr id="1" name="Diagramm 1"/>
        <xdr:cNvGraphicFramePr/>
      </xdr:nvGraphicFramePr>
      <xdr:xfrm>
        <a:off x="11071800" y="39240"/>
        <a:ext cx="4035600" cy="216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394200</xdr:colOff>
      <xdr:row>0</xdr:row>
      <xdr:rowOff>1368360</xdr:rowOff>
    </xdr:from>
    <xdr:to>
      <xdr:col>9</xdr:col>
      <xdr:colOff>643680</xdr:colOff>
      <xdr:row>0</xdr:row>
      <xdr:rowOff>1705320</xdr:rowOff>
    </xdr:to>
    <xdr:sp>
      <xdr:nvSpPr>
        <xdr:cNvPr id="5" name="Textfeld 10"/>
        <xdr:cNvSpPr/>
      </xdr:nvSpPr>
      <xdr:spPr>
        <a:xfrm>
          <a:off x="13503600" y="1368360"/>
          <a:ext cx="249480" cy="3369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de-CH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4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15</xdr:col>
      <xdr:colOff>1735920</xdr:colOff>
      <xdr:row>0</xdr:row>
      <xdr:rowOff>1044360</xdr:rowOff>
    </xdr:from>
    <xdr:to>
      <xdr:col>15</xdr:col>
      <xdr:colOff>2190600</xdr:colOff>
      <xdr:row>0</xdr:row>
      <xdr:rowOff>1292760</xdr:rowOff>
    </xdr:to>
    <xdr:sp>
      <xdr:nvSpPr>
        <xdr:cNvPr id="6" name="Textfeld 15"/>
        <xdr:cNvSpPr/>
      </xdr:nvSpPr>
      <xdr:spPr>
        <a:xfrm>
          <a:off x="22910040" y="1044360"/>
          <a:ext cx="454680" cy="248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90000" tIns="45000" rIns="90000" bIns="45000" anchor="t">
          <a:spAutoFit/>
        </a:bodyPr>
        <a:p>
          <a:pPr>
            <a:lnSpc>
              <a:spcPct val="100000"/>
            </a:lnSpc>
          </a:pPr>
          <a:r>
            <a:rPr lang="de-CH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AWU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16</xdr:col>
      <xdr:colOff>799560</xdr:colOff>
      <xdr:row>0</xdr:row>
      <xdr:rowOff>38520</xdr:rowOff>
    </xdr:from>
    <xdr:to>
      <xdr:col>16</xdr:col>
      <xdr:colOff>3214800</xdr:colOff>
      <xdr:row>1</xdr:row>
      <xdr:rowOff>326880</xdr:rowOff>
    </xdr:to>
    <xdr:graphicFrame>
      <xdr:nvGraphicFramePr>
        <xdr:cNvPr id="7" name="Diagramm 19"/>
        <xdr:cNvGraphicFramePr/>
      </xdr:nvGraphicFramePr>
      <xdr:xfrm>
        <a:off x="24642000" y="38520"/>
        <a:ext cx="2415240" cy="215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565920</xdr:colOff>
      <xdr:row>0</xdr:row>
      <xdr:rowOff>38520</xdr:rowOff>
    </xdr:from>
    <xdr:to>
      <xdr:col>12</xdr:col>
      <xdr:colOff>1481400</xdr:colOff>
      <xdr:row>1</xdr:row>
      <xdr:rowOff>334080</xdr:rowOff>
    </xdr:to>
    <xdr:graphicFrame>
      <xdr:nvGraphicFramePr>
        <xdr:cNvPr id="8" name="Diagramm 20"/>
        <xdr:cNvGraphicFramePr/>
      </xdr:nvGraphicFramePr>
      <xdr:xfrm>
        <a:off x="15135480" y="38520"/>
        <a:ext cx="3623760" cy="216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12</xdr:col>
      <xdr:colOff>446400</xdr:colOff>
      <xdr:row>0</xdr:row>
      <xdr:rowOff>1438200</xdr:rowOff>
    </xdr:from>
    <xdr:to>
      <xdr:col>12</xdr:col>
      <xdr:colOff>967680</xdr:colOff>
      <xdr:row>0</xdr:row>
      <xdr:rowOff>1677960</xdr:rowOff>
    </xdr:to>
    <xdr:sp>
      <xdr:nvSpPr>
        <xdr:cNvPr id="10" name="Textfeld 22"/>
        <xdr:cNvSpPr/>
      </xdr:nvSpPr>
      <xdr:spPr>
        <a:xfrm>
          <a:off x="17724240" y="1438200"/>
          <a:ext cx="521280" cy="23976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de-CH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Nein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552960</xdr:colOff>
      <xdr:row>0</xdr:row>
      <xdr:rowOff>909720</xdr:rowOff>
    </xdr:from>
    <xdr:to>
      <xdr:col>14</xdr:col>
      <xdr:colOff>465840</xdr:colOff>
      <xdr:row>0</xdr:row>
      <xdr:rowOff>1152720</xdr:rowOff>
    </xdr:to>
    <xdr:sp>
      <xdr:nvSpPr>
        <xdr:cNvPr id="11" name="Textfeld 17"/>
        <xdr:cNvSpPr/>
      </xdr:nvSpPr>
      <xdr:spPr>
        <a:xfrm>
          <a:off x="20005560" y="909720"/>
          <a:ext cx="949680" cy="24300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1506600</xdr:colOff>
      <xdr:row>0</xdr:row>
      <xdr:rowOff>37440</xdr:rowOff>
    </xdr:from>
    <xdr:to>
      <xdr:col>15</xdr:col>
      <xdr:colOff>854280</xdr:colOff>
      <xdr:row>1</xdr:row>
      <xdr:rowOff>328680</xdr:rowOff>
    </xdr:to>
    <xdr:graphicFrame>
      <xdr:nvGraphicFramePr>
        <xdr:cNvPr id="12" name="Diagramm 6"/>
        <xdr:cNvGraphicFramePr/>
      </xdr:nvGraphicFramePr>
      <xdr:xfrm>
        <a:off x="18784440" y="37440"/>
        <a:ext cx="3243960" cy="21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15</xdr:col>
      <xdr:colOff>876240</xdr:colOff>
      <xdr:row>0</xdr:row>
      <xdr:rowOff>39240</xdr:rowOff>
    </xdr:from>
    <xdr:to>
      <xdr:col>16</xdr:col>
      <xdr:colOff>770040</xdr:colOff>
      <xdr:row>1</xdr:row>
      <xdr:rowOff>330480</xdr:rowOff>
    </xdr:to>
    <xdr:graphicFrame>
      <xdr:nvGraphicFramePr>
        <xdr:cNvPr id="14" name="Diagramm 7"/>
        <xdr:cNvGraphicFramePr/>
      </xdr:nvGraphicFramePr>
      <xdr:xfrm>
        <a:off x="22050360" y="39240"/>
        <a:ext cx="2562120" cy="21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104760</xdr:colOff>
      <xdr:row>0</xdr:row>
      <xdr:rowOff>247680</xdr:rowOff>
    </xdr:from>
    <xdr:to>
      <xdr:col>3</xdr:col>
      <xdr:colOff>497880</xdr:colOff>
      <xdr:row>0</xdr:row>
      <xdr:rowOff>1542600</xdr:rowOff>
    </xdr:to>
    <xdr:pic>
      <xdr:nvPicPr>
        <xdr:cNvPr id="16" name="Grafik 23"/>
        <xdr:cNvPicPr/>
      </xdr:nvPicPr>
      <xdr:blipFill>
        <a:blip r:embed="rId6"/>
        <a:stretch/>
      </xdr:blipFill>
      <xdr:spPr>
        <a:xfrm>
          <a:off x="869760" y="247680"/>
          <a:ext cx="3161880" cy="1294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16</xdr:col>
      <xdr:colOff>1745640</xdr:colOff>
      <xdr:row>0</xdr:row>
      <xdr:rowOff>1065240</xdr:rowOff>
    </xdr:from>
    <xdr:to>
      <xdr:col>16</xdr:col>
      <xdr:colOff>2203560</xdr:colOff>
      <xdr:row>0</xdr:row>
      <xdr:rowOff>1378080</xdr:rowOff>
    </xdr:to>
    <xdr:sp>
      <xdr:nvSpPr>
        <xdr:cNvPr id="17" name="Textfeld 2"/>
        <xdr:cNvSpPr/>
      </xdr:nvSpPr>
      <xdr:spPr>
        <a:xfrm>
          <a:off x="25588080" y="1065240"/>
          <a:ext cx="457920" cy="3128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90000" tIns="45000" rIns="90000" bIns="45000" anchor="t">
          <a:spAutoFit/>
        </a:bodyPr>
        <a:p>
          <a:pPr>
            <a:lnSpc>
              <a:spcPct val="100000"/>
            </a:lnSpc>
          </a:pPr>
          <a:r>
            <a:rPr lang="de-CH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Keine</a:t>
          </a:r>
          <a:endParaRPr lang="de-CH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8</xdr:col>
      <xdr:colOff>1381680</xdr:colOff>
      <xdr:row>0</xdr:row>
      <xdr:rowOff>790920</xdr:rowOff>
    </xdr:from>
    <xdr:to>
      <xdr:col>8</xdr:col>
      <xdr:colOff>1680480</xdr:colOff>
      <xdr:row>0</xdr:row>
      <xdr:rowOff>1039320</xdr:rowOff>
    </xdr:to>
    <xdr:sp>
      <xdr:nvSpPr>
        <xdr:cNvPr id="18" name="Textfeld 5"/>
        <xdr:cNvSpPr/>
      </xdr:nvSpPr>
      <xdr:spPr>
        <a:xfrm>
          <a:off x="11721960" y="790920"/>
          <a:ext cx="298800" cy="248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spAutoFit/>
        </a:bodyPr>
        <a:p>
          <a:pPr>
            <a:lnSpc>
              <a:spcPct val="100000"/>
            </a:lnSpc>
          </a:pPr>
          <a:r>
            <a:rPr lang="de-CH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2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17</xdr:col>
      <xdr:colOff>15480</xdr:colOff>
      <xdr:row>0</xdr:row>
      <xdr:rowOff>43920</xdr:rowOff>
    </xdr:from>
    <xdr:to>
      <xdr:col>20</xdr:col>
      <xdr:colOff>466200</xdr:colOff>
      <xdr:row>1</xdr:row>
      <xdr:rowOff>328320</xdr:rowOff>
    </xdr:to>
    <xdr:graphicFrame>
      <xdr:nvGraphicFramePr>
        <xdr:cNvPr id="19" name="Diagramm 13"/>
        <xdr:cNvGraphicFramePr/>
      </xdr:nvGraphicFramePr>
      <xdr:xfrm>
        <a:off x="27271080" y="43920"/>
        <a:ext cx="3048480" cy="2151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twoCell">
    <xdr:from>
      <xdr:col>14</xdr:col>
      <xdr:colOff>462960</xdr:colOff>
      <xdr:row>0</xdr:row>
      <xdr:rowOff>1348920</xdr:rowOff>
    </xdr:from>
    <xdr:to>
      <xdr:col>15</xdr:col>
      <xdr:colOff>166680</xdr:colOff>
      <xdr:row>0</xdr:row>
      <xdr:rowOff>1639440</xdr:rowOff>
    </xdr:to>
    <xdr:sp>
      <xdr:nvSpPr>
        <xdr:cNvPr id="20" name="Textfeld 1"/>
        <xdr:cNvSpPr/>
      </xdr:nvSpPr>
      <xdr:spPr>
        <a:xfrm>
          <a:off x="20952360" y="1348920"/>
          <a:ext cx="388440" cy="290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tIns="45000" rIns="90000" bIns="45000" anchor="t">
          <a:noAutofit/>
        </a:bodyPr>
        <a:p>
          <a:pPr>
            <a:lnSpc>
              <a:spcPct val="100000"/>
            </a:lnSpc>
            <a:tabLst>
              <a:tab pos="0" algn="l"/>
            </a:tabLst>
          </a:pPr>
          <a:r>
            <a:rPr lang="de-CH" sz="1000" b="1" u="none" strike="noStrike">
              <a:solidFill>
                <a:srgbClr val="000000"/>
              </a:solidFill>
              <a:effectLst/>
              <a:uFillTx/>
              <a:latin typeface="Calibri"/>
            </a:rPr>
            <a:t>PP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668880</xdr:colOff>
      <xdr:row>0</xdr:row>
      <xdr:rowOff>766440</xdr:rowOff>
    </xdr:from>
    <xdr:to>
      <xdr:col>14</xdr:col>
      <xdr:colOff>136440</xdr:colOff>
      <xdr:row>0</xdr:row>
      <xdr:rowOff>1056960</xdr:rowOff>
    </xdr:to>
    <xdr:sp>
      <xdr:nvSpPr>
        <xdr:cNvPr id="21" name="Textfeld 1"/>
        <xdr:cNvSpPr/>
      </xdr:nvSpPr>
      <xdr:spPr>
        <a:xfrm>
          <a:off x="20121480" y="766440"/>
          <a:ext cx="504360" cy="290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tIns="45000" rIns="90000" bIns="45000" anchor="t">
          <a:noAutofit/>
        </a:bodyPr>
        <a:p>
          <a:pPr>
            <a:lnSpc>
              <a:spcPct val="100000"/>
            </a:lnSpc>
            <a:tabLst>
              <a:tab pos="0" algn="l"/>
            </a:tabLst>
          </a:pPr>
          <a:r>
            <a:rPr lang="de-CH" sz="1000" b="1" u="none" strike="noStrike">
              <a:solidFill>
                <a:schemeClr val="lt1"/>
              </a:solidFill>
              <a:effectLst/>
              <a:uFillTx/>
              <a:latin typeface="Calibri"/>
            </a:rPr>
            <a:t>NBR</a:t>
          </a:r>
          <a:endParaRPr lang="de-CH" sz="10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0.544019266791544</cdr:x>
      <cdr:y>0.576635047428857</cdr:y>
    </cdr:from>
    <cdr:to>
      <cdr:x>0.922397645169922</cdr:x>
      <cdr:y>0.99966716591779</cdr:y>
    </cdr:to>
    <cdr:sp>
      <cdr:nvSpPr>
        <cdr:cNvPr id="2" name="Textfeld 1"/>
        <cdr:cNvSpPr/>
      </cdr:nvSpPr>
      <cdr:spPr>
        <a:xfrm>
          <a:off x="2195640" y="1247400"/>
          <a:ext cx="1527120" cy="91512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</cdr:sp>
  </cdr:relSizeAnchor>
  <cdr:relSizeAnchor>
    <cdr:from>
      <cdr:x>0.570778699491571</cdr:x>
      <cdr:y>0.696288899983358</cdr:y>
    </cdr:from>
    <cdr:to>
      <cdr:x>0.658192846311658</cdr:x>
      <cdr:y>0.803794308537194</cdr:y>
    </cdr:to>
    <cdr:sp>
      <cdr:nvSpPr>
        <cdr:cNvPr id="3" name="Textfeld 2"/>
        <cdr:cNvSpPr/>
      </cdr:nvSpPr>
      <cdr:spPr>
        <a:xfrm>
          <a:off x="2303640" y="1506240"/>
          <a:ext cx="352800" cy="23256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wrap="none"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de-CH" sz="1000" b="0" u="none" strike="noStrike">
              <a:effectLst/>
              <a:uFillTx/>
              <a:latin typeface="Times New Roman"/>
            </a:rPr>
            <a:t>1</a:t>
          </a:r>
          <a:endParaRPr sz="1000" b="0" u="none" strike="noStrike">
            <a:effectLst/>
            <a:uFillTx/>
            <a:latin typeface="Times New Roman"/>
          </a:endParaRPr>
        </a:p>
      </cdr:txBody>
    </cdr:sp>
  </cdr:relSizeAnchor>
  <cdr:relSizeAnchor>
    <cdr:from>
      <cdr:x>0.600481669788601</cdr:x>
      <cdr:y>0.317190880346147</cdr:y>
    </cdr:from>
    <cdr:to>
      <cdr:x>0.702256712157702</cdr:x>
      <cdr:y>0.435180562489599</cdr:y>
    </cdr:to>
    <cdr:sp>
      <cdr:nvSpPr>
        <cdr:cNvPr id="4" name="Textfeld 3"/>
        <cdr:cNvSpPr/>
      </cdr:nvSpPr>
      <cdr:spPr>
        <a:xfrm>
          <a:off x="2423520" y="686160"/>
          <a:ext cx="410760" cy="25524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</cdr:sp>
  </cdr:relSizeAnchor>
</c:userShapes>
</file>

<file path=xl/drawings/drawing3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0.295818019270885</cdr:x>
      <cdr:y>0.333222370173103</cdr:y>
    </cdr:from>
    <cdr:to>
      <cdr:x>0.42813151882388</cdr:x>
      <cdr:y>0.462549933422104</cdr:y>
    </cdr:to>
    <cdr:sp>
      <cdr:nvSpPr>
        <cdr:cNvPr id="9" name="Textfeld 1"/>
        <cdr:cNvSpPr/>
      </cdr:nvSpPr>
      <cdr:spPr>
        <a:xfrm>
          <a:off x="1072080" y="720720"/>
          <a:ext cx="479520" cy="27972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wrap="none"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de-CH" sz="1100" b="0" u="none" strike="noStrike">
              <a:effectLst/>
              <a:uFillTx/>
              <a:latin typeface="Times New Roman"/>
            </a:rPr>
            <a:t>Ja</a:t>
          </a:r>
          <a:endParaRPr sz="1100" b="0" u="none" strike="noStrike">
            <a:effectLst/>
            <a:uFillTx/>
            <a:latin typeface="Times New Roman"/>
          </a:endParaRPr>
        </a:p>
      </cdr:txBody>
    </cdr:sp>
  </cdr:relSizeAnchor>
</c:userShapes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0.631047492232579</cdr:x>
      <cdr:y>0.418278852568379</cdr:y>
    </cdr:from>
    <cdr:to>
      <cdr:x>0.81358189081225</cdr:x>
      <cdr:y>0.551701134089393</cdr:y>
    </cdr:to>
    <cdr:sp>
      <cdr:nvSpPr>
        <cdr:cNvPr id="13" name="Textfeld 4"/>
        <cdr:cNvSpPr/>
      </cdr:nvSpPr>
      <cdr:spPr>
        <a:xfrm>
          <a:off x="2047320" y="902880"/>
          <a:ext cx="592200" cy="28800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</cdr:sp>
  </cdr:relSizeAnchor>
</c:userShapes>
</file>

<file path=xl/drawings/drawing5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0.384658611969654</cdr:x>
      <cdr:y>0.494496330887258</cdr:y>
    </cdr:from>
    <cdr:to>
      <cdr:x>0.627282944647373</cdr:x>
      <cdr:y>0.615577051367578</cdr:y>
    </cdr:to>
    <cdr:sp>
      <cdr:nvSpPr>
        <cdr:cNvPr id="15" name="Textfeld 1"/>
        <cdr:cNvSpPr/>
      </cdr:nvSpPr>
      <cdr:spPr>
        <a:xfrm>
          <a:off x="985680" y="1067400"/>
          <a:ext cx="621720" cy="26136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de-CH" sz="1000" b="0" u="none" strike="noStrike">
              <a:effectLst/>
              <a:uFillTx/>
              <a:latin typeface="Times New Roman"/>
            </a:rPr>
            <a:t>Kanton</a:t>
          </a:r>
          <a:endParaRPr sz="1000" b="0" u="none" strike="noStrike">
            <a:effectLst/>
            <a:uFillTx/>
            <a:latin typeface="Times New Roman"/>
          </a:endParaRPr>
        </a:p>
      </cdr:txBody>
    </cdr:sp>
  </cdr:relSizeAnchor>
</c:userShape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60"/>
  <sheetViews>
    <sheetView showFormulas="false" showGridLines="true" showRowColHeaders="true" showZeros="true" rightToLeft="false" tabSelected="true" showOutlineSymbols="true" defaultGridColor="true" view="normal" topLeftCell="A1" colorId="64" zoomScale="40" zoomScaleNormal="40" zoomScalePageLayoutView="130" workbookViewId="0">
      <selection pane="topLeft" activeCell="T9" activeCellId="0" sqref="T9"/>
    </sheetView>
  </sheetViews>
  <sheetFormatPr defaultColWidth="11.42578125" defaultRowHeight="15" customHeight="fals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2" width="24.86"/>
    <col collapsed="false" customWidth="true" hidden="false" outlineLevel="0" max="3" min="3" style="2" width="14.42"/>
    <col collapsed="false" customWidth="true" hidden="false" outlineLevel="0" max="4" min="4" style="2" width="19.29"/>
    <col collapsed="false" customWidth="true" hidden="false" outlineLevel="0" max="5" min="5" style="2" width="13.86"/>
    <col collapsed="false" customWidth="true" hidden="false" outlineLevel="0" max="6" min="6" style="2" width="18.42"/>
    <col collapsed="false" customWidth="true" hidden="false" outlineLevel="0" max="7" min="7" style="2" width="20"/>
    <col collapsed="false" customWidth="true" hidden="false" outlineLevel="0" max="8" min="8" style="2" width="25"/>
    <col collapsed="false" customWidth="true" hidden="false" outlineLevel="0" max="9" min="9" style="3" width="39.29"/>
    <col collapsed="false" customWidth="true" hidden="false" outlineLevel="0" max="10" min="10" style="4" width="20.71"/>
    <col collapsed="false" customWidth="true" hidden="false" outlineLevel="0" max="11" min="11" style="4" width="22.71"/>
    <col collapsed="false" customWidth="true" hidden="false" outlineLevel="0" max="12" min="12" style="4" width="15.71"/>
    <col collapsed="false" customWidth="true" hidden="false" outlineLevel="0" max="13" min="13" style="5" width="30.85"/>
    <col collapsed="false" customWidth="true" hidden="false" outlineLevel="0" max="14" min="14" style="6" width="14.71"/>
    <col collapsed="false" customWidth="true" hidden="false" outlineLevel="0" max="15" min="15" style="2" width="9.71"/>
    <col collapsed="false" customWidth="true" hidden="false" outlineLevel="0" max="16" min="16" style="0" width="37.86"/>
    <col collapsed="false" customWidth="true" hidden="false" outlineLevel="0" max="17" min="17" style="7" width="48.42"/>
    <col collapsed="false" customWidth="true" hidden="false" outlineLevel="0" max="18" min="18" style="4" width="13.29"/>
    <col collapsed="false" customWidth="false" hidden="false" outlineLevel="0" max="19" min="19" style="4" width="11.43"/>
    <col collapsed="false" customWidth="true" hidden="false" outlineLevel="0" max="20" min="20" style="4" width="12.15"/>
    <col collapsed="false" customWidth="true" hidden="false" outlineLevel="0" max="21" min="21" style="2" width="12.42"/>
    <col collapsed="false" customWidth="true" hidden="false" outlineLevel="0" max="22" min="22" style="4" width="16"/>
    <col collapsed="false" customWidth="true" hidden="false" outlineLevel="0" max="23" min="23" style="4" width="12.29"/>
    <col collapsed="false" customWidth="true" hidden="false" outlineLevel="0" max="24" min="24" style="0" width="21.14"/>
    <col collapsed="false" customWidth="true" hidden="false" outlineLevel="0" max="25" min="25" style="0" width="21.29"/>
  </cols>
  <sheetData>
    <row r="1" s="16" customFormat="true" ht="147" hidden="false" customHeight="true" outlineLevel="0" collapsed="false">
      <c r="A1" s="8"/>
      <c r="B1" s="9"/>
      <c r="C1" s="9"/>
      <c r="D1" s="9"/>
      <c r="E1" s="9"/>
      <c r="F1" s="9"/>
      <c r="G1" s="9"/>
      <c r="H1" s="9"/>
      <c r="I1" s="10"/>
      <c r="J1" s="11"/>
      <c r="K1" s="11"/>
      <c r="L1" s="11"/>
      <c r="M1" s="12"/>
      <c r="N1" s="13"/>
      <c r="O1" s="9"/>
      <c r="P1" s="14"/>
      <c r="Q1" s="14"/>
      <c r="R1" s="11"/>
      <c r="S1" s="11"/>
      <c r="T1" s="11"/>
      <c r="U1" s="9"/>
      <c r="V1" s="11"/>
      <c r="W1" s="11"/>
      <c r="X1" s="14"/>
      <c r="Y1" s="15"/>
    </row>
    <row r="2" s="16" customFormat="true" ht="30" hidden="false" customHeight="true" outlineLevel="0" collapsed="false">
      <c r="A2" s="17" t="n">
        <f aca="false">SUM(E2:E9,G9)</f>
        <v>0</v>
      </c>
      <c r="B2" s="18"/>
      <c r="C2" s="18"/>
      <c r="D2" s="19" t="s">
        <v>0</v>
      </c>
      <c r="E2" s="18" t="n">
        <f aca="false">COUNTIF(D12:D497,D2)</f>
        <v>0</v>
      </c>
      <c r="F2" s="18"/>
      <c r="G2" s="18"/>
      <c r="H2" s="18"/>
      <c r="I2" s="20"/>
      <c r="J2" s="21"/>
      <c r="K2" s="18"/>
      <c r="L2" s="22"/>
      <c r="M2" s="23"/>
      <c r="N2" s="24"/>
      <c r="O2" s="21"/>
      <c r="R2" s="22"/>
      <c r="S2" s="22"/>
      <c r="T2" s="22"/>
      <c r="U2" s="18"/>
      <c r="V2" s="22"/>
      <c r="W2" s="22"/>
      <c r="Y2" s="25"/>
    </row>
    <row r="3" s="16" customFormat="true" ht="30" hidden="false" customHeight="true" outlineLevel="0" collapsed="false">
      <c r="A3" s="17" t="n">
        <f aca="false">SUM(I4,L4)</f>
        <v>0</v>
      </c>
      <c r="B3" s="18"/>
      <c r="C3" s="18"/>
      <c r="D3" s="26" t="s">
        <v>1</v>
      </c>
      <c r="E3" s="18" t="n">
        <f aca="false">COUNTIF(D12:D498,D3)</f>
        <v>0</v>
      </c>
      <c r="F3" s="18"/>
      <c r="G3" s="18"/>
      <c r="H3" s="18"/>
      <c r="I3" s="20"/>
      <c r="J3" s="21"/>
      <c r="K3" s="18"/>
      <c r="L3" s="18"/>
      <c r="M3" s="23"/>
      <c r="N3" s="24"/>
      <c r="O3" s="21"/>
      <c r="R3" s="22"/>
      <c r="S3" s="22"/>
      <c r="T3" s="22"/>
      <c r="U3" s="18"/>
      <c r="V3" s="22"/>
      <c r="W3" s="22"/>
      <c r="Y3" s="25"/>
    </row>
    <row r="4" s="16" customFormat="true" ht="30" hidden="false" customHeight="true" outlineLevel="0" collapsed="false">
      <c r="A4" s="27" t="n">
        <f aca="false">SUM(I5:I9)</f>
        <v>0</v>
      </c>
      <c r="B4" s="18"/>
      <c r="C4" s="18"/>
      <c r="D4" s="28" t="s">
        <v>2</v>
      </c>
      <c r="E4" s="18" t="n">
        <f aca="false">COUNTIF(D12:D499,D4)</f>
        <v>0</v>
      </c>
      <c r="F4" s="18"/>
      <c r="G4" s="18"/>
      <c r="H4" s="18"/>
      <c r="I4" s="29" t="n">
        <f aca="false">COUNTIF(L12:L498,J4)</f>
        <v>0</v>
      </c>
      <c r="J4" s="18" t="s">
        <v>3</v>
      </c>
      <c r="K4" s="18" t="s">
        <v>4</v>
      </c>
      <c r="L4" s="18" t="n">
        <f aca="false">COUNTIF(L12:L500,K4)</f>
        <v>0</v>
      </c>
      <c r="M4" s="23"/>
      <c r="N4" s="24"/>
      <c r="O4" s="21"/>
      <c r="R4" s="22"/>
      <c r="S4" s="22"/>
      <c r="T4" s="22"/>
      <c r="U4" s="18"/>
      <c r="V4" s="22"/>
      <c r="W4" s="22"/>
      <c r="Y4" s="25"/>
    </row>
    <row r="5" s="16" customFormat="true" ht="30" hidden="false" customHeight="true" outlineLevel="0" collapsed="false">
      <c r="A5" s="17" t="n">
        <f aca="false">SUM(L5:L8)</f>
        <v>0</v>
      </c>
      <c r="B5" s="18"/>
      <c r="C5" s="18"/>
      <c r="D5" s="30" t="s">
        <v>5</v>
      </c>
      <c r="E5" s="18" t="n">
        <f aca="false">COUNTIF(D12:D500,D5)</f>
        <v>0</v>
      </c>
      <c r="F5" s="31"/>
      <c r="G5" s="31"/>
      <c r="H5" s="31"/>
      <c r="I5" s="32" t="n">
        <f aca="false">COUNTIF(J12:J60,J5)</f>
        <v>0</v>
      </c>
      <c r="J5" s="33" t="n">
        <v>0</v>
      </c>
      <c r="K5" s="34" t="s">
        <v>6</v>
      </c>
      <c r="L5" s="18" t="n">
        <f aca="false">COUNTIF(K12:K500,K5)</f>
        <v>0</v>
      </c>
      <c r="M5" s="23"/>
      <c r="N5" s="18" t="n">
        <f aca="false">COUNTIF(O12:O500,O5)</f>
        <v>0</v>
      </c>
      <c r="O5" s="35" t="s">
        <v>7</v>
      </c>
      <c r="P5" s="36"/>
      <c r="R5" s="22"/>
      <c r="S5" s="22"/>
      <c r="T5" s="22"/>
      <c r="U5" s="18"/>
      <c r="V5" s="22"/>
      <c r="W5" s="22"/>
      <c r="Y5" s="25"/>
    </row>
    <row r="6" s="16" customFormat="true" ht="30.75" hidden="false" customHeight="true" outlineLevel="0" collapsed="false">
      <c r="A6" s="17" t="n">
        <f aca="false">SUM(N6:N9)</f>
        <v>0</v>
      </c>
      <c r="B6" s="18"/>
      <c r="C6" s="18"/>
      <c r="D6" s="37" t="s">
        <v>8</v>
      </c>
      <c r="E6" s="18" t="n">
        <f aca="false">COUNTIF(D12:D501,D6)</f>
        <v>0</v>
      </c>
      <c r="F6" s="18"/>
      <c r="G6" s="18"/>
      <c r="H6" s="18"/>
      <c r="I6" s="32" t="n">
        <f aca="false">COUNTIF(J12:J500,J6)</f>
        <v>0</v>
      </c>
      <c r="J6" s="38" t="n">
        <v>1</v>
      </c>
      <c r="K6" s="39" t="s">
        <v>9</v>
      </c>
      <c r="L6" s="18" t="n">
        <f aca="false">COUNTIF(K12:K500,K6)</f>
        <v>0</v>
      </c>
      <c r="M6" s="23"/>
      <c r="N6" s="18" t="n">
        <v>0</v>
      </c>
      <c r="O6" s="40" t="s">
        <v>10</v>
      </c>
      <c r="P6" s="36"/>
      <c r="R6" s="22"/>
      <c r="S6" s="22"/>
      <c r="T6" s="22"/>
      <c r="U6" s="18"/>
      <c r="V6" s="22"/>
      <c r="W6" s="22"/>
      <c r="Y6" s="25"/>
    </row>
    <row r="7" s="16" customFormat="true" ht="30.75" hidden="false" customHeight="true" outlineLevel="0" collapsed="false">
      <c r="A7" s="41" t="s">
        <v>11</v>
      </c>
      <c r="B7" s="18" t="s">
        <v>12</v>
      </c>
      <c r="C7" s="18"/>
      <c r="D7" s="42" t="s">
        <v>13</v>
      </c>
      <c r="E7" s="18" t="n">
        <f aca="false">COUNTIF(D12:D502,D7)</f>
        <v>0</v>
      </c>
      <c r="F7" s="18"/>
      <c r="G7" s="18"/>
      <c r="H7" s="18"/>
      <c r="I7" s="32" t="n">
        <f aca="false">COUNTIF(J12:J500,J7)</f>
        <v>0</v>
      </c>
      <c r="J7" s="43" t="n">
        <v>2</v>
      </c>
      <c r="K7" s="44" t="s">
        <v>14</v>
      </c>
      <c r="L7" s="18" t="n">
        <f aca="false">COUNTIF(K12:K500,K7)</f>
        <v>0</v>
      </c>
      <c r="M7" s="23"/>
      <c r="N7" s="18" t="n">
        <f aca="false">COUNTIF(O12:O500,O7)</f>
        <v>0</v>
      </c>
      <c r="O7" s="45" t="s">
        <v>11</v>
      </c>
      <c r="P7" s="36"/>
      <c r="Q7" s="46" t="e">
        <f aca="false">SUM(G12,G14,G15,#ref!,G16,G17,G18,G19,G22,G23,G24,G25,G26,G27,G29,G30,G31,G32,G34,G35,G36,G37,G38,G39,G40,G41,G42,G43,G47,G48,G49)</f>
        <v>#NAME?</v>
      </c>
      <c r="R7" s="22"/>
      <c r="S7" s="22"/>
      <c r="T7" s="22"/>
      <c r="U7" s="18"/>
      <c r="V7" s="22"/>
      <c r="W7" s="22"/>
      <c r="Y7" s="25"/>
    </row>
    <row r="8" s="16" customFormat="true" ht="30.75" hidden="false" customHeight="true" outlineLevel="0" collapsed="false">
      <c r="A8" s="47" t="s">
        <v>15</v>
      </c>
      <c r="B8" s="18" t="s">
        <v>16</v>
      </c>
      <c r="C8" s="18"/>
      <c r="D8" s="48" t="s">
        <v>17</v>
      </c>
      <c r="E8" s="18" t="n">
        <f aca="false">COUNTIF(D12:D503,D8)</f>
        <v>0</v>
      </c>
      <c r="F8" s="18"/>
      <c r="G8" s="18"/>
      <c r="H8" s="18"/>
      <c r="I8" s="32" t="n">
        <f aca="false">COUNTIF(J12:J500,J8)</f>
        <v>0</v>
      </c>
      <c r="J8" s="49" t="n">
        <v>3</v>
      </c>
      <c r="K8" s="50" t="s">
        <v>18</v>
      </c>
      <c r="L8" s="18" t="n">
        <f aca="false">COUNTIF(K12:K500,K8)</f>
        <v>0</v>
      </c>
      <c r="M8" s="51"/>
      <c r="N8" s="18" t="n">
        <v>0</v>
      </c>
      <c r="O8" s="52" t="s">
        <v>19</v>
      </c>
      <c r="P8" s="36"/>
      <c r="R8" s="53" t="s">
        <v>20</v>
      </c>
      <c r="S8" s="53"/>
      <c r="T8" s="53"/>
      <c r="U8" s="53"/>
      <c r="V8" s="53"/>
      <c r="W8" s="53"/>
      <c r="X8" s="54" t="s">
        <v>21</v>
      </c>
      <c r="Y8" s="55" t="n">
        <f aca="false">COUNTIF(X12:X498,X8)</f>
        <v>0</v>
      </c>
    </row>
    <row r="9" s="16" customFormat="true" ht="30" hidden="false" customHeight="true" outlineLevel="0" collapsed="false">
      <c r="A9" s="56" t="s">
        <v>15</v>
      </c>
      <c r="B9" s="18" t="s">
        <v>22</v>
      </c>
      <c r="C9" s="18"/>
      <c r="D9" s="57" t="s">
        <v>23</v>
      </c>
      <c r="E9" s="18" t="n">
        <f aca="false">COUNTIF(D12:D504,D9)</f>
        <v>0</v>
      </c>
      <c r="F9" s="58" t="s">
        <v>24</v>
      </c>
      <c r="G9" s="18" t="n">
        <f aca="false">COUNTIF(D12:D504,F9)</f>
        <v>0</v>
      </c>
      <c r="H9" s="18"/>
      <c r="I9" s="32" t="n">
        <f aca="false">COUNTIF(J12:J500,J9)</f>
        <v>0</v>
      </c>
      <c r="J9" s="59" t="n">
        <v>4</v>
      </c>
      <c r="K9" s="18"/>
      <c r="L9" s="18"/>
      <c r="M9" s="36"/>
      <c r="N9" s="18" t="n">
        <f aca="false">COUNTIF(O12:O500,O9)</f>
        <v>0</v>
      </c>
      <c r="O9" s="60" t="s">
        <v>25</v>
      </c>
      <c r="P9" s="61"/>
      <c r="R9" s="62" t="n">
        <f aca="false">SUM(R12:R500)</f>
        <v>0</v>
      </c>
      <c r="S9" s="62" t="n">
        <f aca="false">SUM(S12:S500)</f>
        <v>0</v>
      </c>
      <c r="T9" s="62" t="n">
        <f aca="false">SUM(T12:T500)</f>
        <v>0</v>
      </c>
      <c r="U9" s="62" t="n">
        <f aca="false">SUM(U12:U500)</f>
        <v>0</v>
      </c>
      <c r="V9" s="62" t="n">
        <f aca="false">SUM(V12:V500)</f>
        <v>0</v>
      </c>
      <c r="W9" s="62" t="n">
        <f aca="false">SUM(W12:W500)</f>
        <v>0</v>
      </c>
      <c r="X9" s="63" t="s">
        <v>26</v>
      </c>
      <c r="Y9" s="55" t="n">
        <f aca="false">COUNTIF(X12:X497,X9)</f>
        <v>0</v>
      </c>
    </row>
    <row r="10" s="66" customFormat="true" ht="30" hidden="false" customHeight="true" outlineLevel="0" collapsed="false">
      <c r="A10" s="64" t="s">
        <v>27</v>
      </c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53" t="s">
        <v>28</v>
      </c>
      <c r="S10" s="53"/>
      <c r="T10" s="53"/>
      <c r="U10" s="53"/>
      <c r="V10" s="53"/>
      <c r="W10" s="53"/>
      <c r="X10" s="65" t="s">
        <v>29</v>
      </c>
      <c r="Y10" s="65"/>
    </row>
    <row r="11" s="77" customFormat="true" ht="43.25" hidden="false" customHeight="false" outlineLevel="0" collapsed="false">
      <c r="A11" s="67" t="s">
        <v>30</v>
      </c>
      <c r="B11" s="68" t="s">
        <v>31</v>
      </c>
      <c r="C11" s="68" t="s">
        <v>32</v>
      </c>
      <c r="D11" s="68" t="s">
        <v>33</v>
      </c>
      <c r="E11" s="69" t="s">
        <v>34</v>
      </c>
      <c r="F11" s="68" t="s">
        <v>35</v>
      </c>
      <c r="G11" s="69" t="s">
        <v>36</v>
      </c>
      <c r="H11" s="69" t="s">
        <v>37</v>
      </c>
      <c r="I11" s="69" t="s">
        <v>38</v>
      </c>
      <c r="J11" s="68" t="s">
        <v>39</v>
      </c>
      <c r="K11" s="68" t="s">
        <v>40</v>
      </c>
      <c r="L11" s="69" t="s">
        <v>41</v>
      </c>
      <c r="M11" s="70" t="s">
        <v>42</v>
      </c>
      <c r="N11" s="71" t="s">
        <v>43</v>
      </c>
      <c r="O11" s="69" t="s">
        <v>44</v>
      </c>
      <c r="P11" s="72" t="s">
        <v>45</v>
      </c>
      <c r="Q11" s="73" t="s">
        <v>46</v>
      </c>
      <c r="R11" s="74" t="s">
        <v>47</v>
      </c>
      <c r="S11" s="75" t="s">
        <v>48</v>
      </c>
      <c r="T11" s="75" t="s">
        <v>49</v>
      </c>
      <c r="U11" s="75" t="s">
        <v>50</v>
      </c>
      <c r="V11" s="75" t="s">
        <v>51</v>
      </c>
      <c r="W11" s="76" t="s">
        <v>52</v>
      </c>
      <c r="X11" s="74" t="s">
        <v>53</v>
      </c>
      <c r="Y11" s="76" t="s">
        <v>54</v>
      </c>
    </row>
    <row r="12" s="77" customFormat="true" ht="79.5" hidden="false" customHeight="true" outlineLevel="0" collapsed="false">
      <c r="A12" s="78"/>
      <c r="B12" s="79"/>
      <c r="C12" s="79"/>
      <c r="D12" s="79"/>
      <c r="E12" s="79"/>
      <c r="F12" s="79"/>
      <c r="G12" s="79"/>
      <c r="H12" s="79"/>
      <c r="I12" s="80"/>
      <c r="J12" s="81"/>
      <c r="K12" s="79"/>
      <c r="L12" s="79"/>
      <c r="M12" s="82"/>
      <c r="N12" s="83"/>
      <c r="O12" s="84"/>
      <c r="P12" s="80"/>
      <c r="Q12" s="85"/>
      <c r="R12" s="86"/>
      <c r="S12" s="87"/>
      <c r="T12" s="88"/>
      <c r="U12" s="88"/>
      <c r="V12" s="88"/>
      <c r="W12" s="89"/>
      <c r="X12" s="90"/>
      <c r="Y12" s="91"/>
    </row>
    <row r="13" s="77" customFormat="true" ht="30" hidden="false" customHeight="true" outlineLevel="0" collapsed="false">
      <c r="A13" s="78"/>
      <c r="B13" s="79"/>
      <c r="C13" s="79"/>
      <c r="D13" s="79"/>
      <c r="E13" s="79"/>
      <c r="F13" s="79"/>
      <c r="G13" s="79"/>
      <c r="H13" s="79"/>
      <c r="I13" s="80"/>
      <c r="J13" s="92"/>
      <c r="K13" s="79"/>
      <c r="L13" s="79"/>
      <c r="M13" s="82"/>
      <c r="N13" s="83"/>
      <c r="O13" s="93"/>
      <c r="P13" s="80"/>
      <c r="Q13" s="85"/>
      <c r="R13" s="90"/>
      <c r="S13" s="87"/>
      <c r="T13" s="79"/>
      <c r="U13" s="79"/>
      <c r="V13" s="79"/>
      <c r="W13" s="94"/>
      <c r="X13" s="90"/>
      <c r="Y13" s="91"/>
    </row>
    <row r="14" s="77" customFormat="true" ht="30" hidden="false" customHeight="true" outlineLevel="0" collapsed="false">
      <c r="A14" s="78"/>
      <c r="B14" s="79"/>
      <c r="C14" s="79"/>
      <c r="D14" s="79"/>
      <c r="E14" s="79"/>
      <c r="F14" s="79"/>
      <c r="G14" s="79"/>
      <c r="H14" s="79"/>
      <c r="I14" s="80"/>
      <c r="J14" s="92"/>
      <c r="K14" s="79"/>
      <c r="L14" s="79"/>
      <c r="M14" s="82"/>
      <c r="N14" s="83"/>
      <c r="O14" s="84"/>
      <c r="P14" s="80"/>
      <c r="Q14" s="85"/>
      <c r="R14" s="90"/>
      <c r="S14" s="87"/>
      <c r="T14" s="95"/>
      <c r="U14" s="79"/>
      <c r="V14" s="79"/>
      <c r="W14" s="94"/>
      <c r="X14" s="90"/>
      <c r="Y14" s="91"/>
    </row>
    <row r="15" s="77" customFormat="true" ht="30" hidden="false" customHeight="true" outlineLevel="0" collapsed="false">
      <c r="A15" s="78"/>
      <c r="B15" s="79"/>
      <c r="C15" s="79"/>
      <c r="D15" s="79"/>
      <c r="E15" s="79"/>
      <c r="F15" s="79"/>
      <c r="G15" s="79"/>
      <c r="H15" s="79"/>
      <c r="I15" s="80"/>
      <c r="J15" s="92"/>
      <c r="K15" s="79"/>
      <c r="L15" s="79"/>
      <c r="M15" s="82"/>
      <c r="N15" s="83"/>
      <c r="O15" s="93"/>
      <c r="P15" s="80"/>
      <c r="Q15" s="85"/>
      <c r="R15" s="90"/>
      <c r="S15" s="87"/>
      <c r="T15" s="95"/>
      <c r="U15" s="79"/>
      <c r="V15" s="79"/>
      <c r="W15" s="94"/>
      <c r="X15" s="90"/>
      <c r="Y15" s="91"/>
    </row>
    <row r="16" s="77" customFormat="true" ht="30" hidden="false" customHeight="true" outlineLevel="0" collapsed="false">
      <c r="A16" s="78"/>
      <c r="B16" s="79"/>
      <c r="C16" s="79"/>
      <c r="D16" s="79"/>
      <c r="E16" s="79"/>
      <c r="F16" s="79"/>
      <c r="G16" s="79"/>
      <c r="H16" s="79"/>
      <c r="I16" s="80"/>
      <c r="J16" s="81"/>
      <c r="K16" s="79"/>
      <c r="L16" s="79"/>
      <c r="M16" s="82"/>
      <c r="N16" s="83"/>
      <c r="O16" s="84"/>
      <c r="P16" s="80"/>
      <c r="Q16" s="85"/>
      <c r="R16" s="90"/>
      <c r="S16" s="87"/>
      <c r="T16" s="79"/>
      <c r="U16" s="79"/>
      <c r="V16" s="79"/>
      <c r="W16" s="96"/>
      <c r="X16" s="90"/>
      <c r="Y16" s="91"/>
    </row>
    <row r="17" s="77" customFormat="true" ht="79.5" hidden="false" customHeight="true" outlineLevel="0" collapsed="false">
      <c r="A17" s="78"/>
      <c r="B17" s="79"/>
      <c r="C17" s="79"/>
      <c r="D17" s="79"/>
      <c r="E17" s="79"/>
      <c r="F17" s="79"/>
      <c r="G17" s="79"/>
      <c r="H17" s="79"/>
      <c r="I17" s="80"/>
      <c r="J17" s="81"/>
      <c r="K17" s="79"/>
      <c r="L17" s="79"/>
      <c r="M17" s="82"/>
      <c r="N17" s="83"/>
      <c r="O17" s="93"/>
      <c r="P17" s="80"/>
      <c r="Q17" s="85"/>
      <c r="R17" s="90"/>
      <c r="S17" s="79"/>
      <c r="T17" s="79"/>
      <c r="U17" s="79"/>
      <c r="V17" s="79"/>
      <c r="W17" s="96"/>
      <c r="X17" s="90"/>
      <c r="Y17" s="91"/>
    </row>
    <row r="18" s="77" customFormat="true" ht="79.5" hidden="false" customHeight="true" outlineLevel="0" collapsed="false">
      <c r="A18" s="78"/>
      <c r="B18" s="79"/>
      <c r="C18" s="79"/>
      <c r="D18" s="79"/>
      <c r="E18" s="79"/>
      <c r="F18" s="79"/>
      <c r="G18" s="79"/>
      <c r="H18" s="79"/>
      <c r="I18" s="80"/>
      <c r="J18" s="81"/>
      <c r="K18" s="79"/>
      <c r="L18" s="79"/>
      <c r="M18" s="82"/>
      <c r="N18" s="83"/>
      <c r="O18" s="84"/>
      <c r="P18" s="80"/>
      <c r="Q18" s="85"/>
      <c r="R18" s="90"/>
      <c r="S18" s="87"/>
      <c r="T18" s="79"/>
      <c r="U18" s="79"/>
      <c r="V18" s="79"/>
      <c r="W18" s="96"/>
      <c r="X18" s="90"/>
      <c r="Y18" s="91"/>
    </row>
    <row r="19" s="77" customFormat="true" ht="79.5" hidden="false" customHeight="true" outlineLevel="0" collapsed="false">
      <c r="A19" s="78"/>
      <c r="B19" s="79"/>
      <c r="C19" s="79"/>
      <c r="D19" s="79"/>
      <c r="E19" s="79"/>
      <c r="F19" s="79"/>
      <c r="G19" s="79"/>
      <c r="H19" s="79"/>
      <c r="I19" s="80"/>
      <c r="J19" s="81"/>
      <c r="K19" s="79"/>
      <c r="L19" s="79"/>
      <c r="M19" s="82"/>
      <c r="N19" s="83"/>
      <c r="O19" s="84"/>
      <c r="P19" s="80"/>
      <c r="Q19" s="85"/>
      <c r="R19" s="90"/>
      <c r="S19" s="87"/>
      <c r="T19" s="79"/>
      <c r="U19" s="79"/>
      <c r="V19" s="95"/>
      <c r="W19" s="96"/>
      <c r="X19" s="90"/>
      <c r="Y19" s="91"/>
    </row>
    <row r="20" s="77" customFormat="true" ht="79.5" hidden="false" customHeight="true" outlineLevel="0" collapsed="false">
      <c r="A20" s="78"/>
      <c r="B20" s="79"/>
      <c r="C20" s="79"/>
      <c r="D20" s="79"/>
      <c r="E20" s="79"/>
      <c r="F20" s="79"/>
      <c r="G20" s="79"/>
      <c r="H20" s="79"/>
      <c r="I20" s="80"/>
      <c r="J20" s="81"/>
      <c r="K20" s="79"/>
      <c r="L20" s="79"/>
      <c r="M20" s="82"/>
      <c r="N20" s="83"/>
      <c r="O20" s="93"/>
      <c r="P20" s="80"/>
      <c r="Q20" s="85"/>
      <c r="R20" s="90"/>
      <c r="S20" s="87"/>
      <c r="T20" s="79"/>
      <c r="U20" s="79"/>
      <c r="V20" s="79"/>
      <c r="W20" s="96"/>
      <c r="X20" s="90"/>
      <c r="Y20" s="91"/>
    </row>
    <row r="21" s="77" customFormat="true" ht="79.5" hidden="false" customHeight="true" outlineLevel="0" collapsed="false">
      <c r="A21" s="78"/>
      <c r="B21" s="79"/>
      <c r="C21" s="79"/>
      <c r="D21" s="79"/>
      <c r="E21" s="79"/>
      <c r="F21" s="79"/>
      <c r="G21" s="79"/>
      <c r="H21" s="79"/>
      <c r="I21" s="80"/>
      <c r="J21" s="81"/>
      <c r="K21" s="79"/>
      <c r="L21" s="79"/>
      <c r="M21" s="82"/>
      <c r="N21" s="83"/>
      <c r="O21" s="84"/>
      <c r="P21" s="80"/>
      <c r="Q21" s="85"/>
      <c r="R21" s="90"/>
      <c r="S21" s="87"/>
      <c r="T21" s="79"/>
      <c r="U21" s="79"/>
      <c r="V21" s="79"/>
      <c r="W21" s="94"/>
      <c r="X21" s="90"/>
      <c r="Y21" s="91"/>
    </row>
    <row r="22" s="77" customFormat="true" ht="30" hidden="false" customHeight="true" outlineLevel="0" collapsed="false">
      <c r="A22" s="78"/>
      <c r="B22" s="79"/>
      <c r="C22" s="79"/>
      <c r="D22" s="79"/>
      <c r="E22" s="79"/>
      <c r="F22" s="79"/>
      <c r="G22" s="79"/>
      <c r="H22" s="79"/>
      <c r="I22" s="80"/>
      <c r="J22" s="92"/>
      <c r="K22" s="79"/>
      <c r="L22" s="79"/>
      <c r="M22" s="82"/>
      <c r="N22" s="83"/>
      <c r="O22" s="84"/>
      <c r="P22" s="80"/>
      <c r="Q22" s="85"/>
      <c r="R22" s="90"/>
      <c r="S22" s="79"/>
      <c r="T22" s="79"/>
      <c r="U22" s="79"/>
      <c r="V22" s="79"/>
      <c r="W22" s="94"/>
      <c r="X22" s="90"/>
      <c r="Y22" s="91"/>
    </row>
    <row r="23" s="77" customFormat="true" ht="30" hidden="false" customHeight="true" outlineLevel="0" collapsed="false">
      <c r="A23" s="78"/>
      <c r="B23" s="79"/>
      <c r="C23" s="79"/>
      <c r="D23" s="79"/>
      <c r="E23" s="79"/>
      <c r="F23" s="79"/>
      <c r="G23" s="79"/>
      <c r="H23" s="79"/>
      <c r="I23" s="80"/>
      <c r="J23" s="92"/>
      <c r="K23" s="79"/>
      <c r="L23" s="79"/>
      <c r="M23" s="82"/>
      <c r="N23" s="83"/>
      <c r="O23" s="84"/>
      <c r="P23" s="80"/>
      <c r="Q23" s="85"/>
      <c r="R23" s="90"/>
      <c r="S23" s="79"/>
      <c r="T23" s="79"/>
      <c r="U23" s="79"/>
      <c r="V23" s="79"/>
      <c r="W23" s="94"/>
      <c r="X23" s="90"/>
      <c r="Y23" s="91"/>
    </row>
    <row r="24" s="77" customFormat="true" ht="30" hidden="false" customHeight="true" outlineLevel="0" collapsed="false">
      <c r="A24" s="78"/>
      <c r="B24" s="79"/>
      <c r="C24" s="79"/>
      <c r="D24" s="79"/>
      <c r="E24" s="79"/>
      <c r="F24" s="79"/>
      <c r="G24" s="79"/>
      <c r="H24" s="79"/>
      <c r="I24" s="80"/>
      <c r="J24" s="81"/>
      <c r="K24" s="79"/>
      <c r="L24" s="79"/>
      <c r="M24" s="82"/>
      <c r="N24" s="83"/>
      <c r="O24" s="84"/>
      <c r="P24" s="80"/>
      <c r="Q24" s="85"/>
      <c r="R24" s="90"/>
      <c r="S24" s="79"/>
      <c r="T24" s="79"/>
      <c r="U24" s="79"/>
      <c r="V24" s="79"/>
      <c r="W24" s="94"/>
      <c r="X24" s="90"/>
      <c r="Y24" s="91"/>
    </row>
    <row r="25" s="77" customFormat="true" ht="30" hidden="false" customHeight="true" outlineLevel="0" collapsed="false">
      <c r="A25" s="78"/>
      <c r="B25" s="79"/>
      <c r="C25" s="79"/>
      <c r="D25" s="79"/>
      <c r="E25" s="79"/>
      <c r="F25" s="79"/>
      <c r="G25" s="79"/>
      <c r="H25" s="79"/>
      <c r="I25" s="80"/>
      <c r="J25" s="81"/>
      <c r="K25" s="79"/>
      <c r="L25" s="79"/>
      <c r="M25" s="82"/>
      <c r="N25" s="83"/>
      <c r="O25" s="84"/>
      <c r="P25" s="80"/>
      <c r="Q25" s="85"/>
      <c r="R25" s="90"/>
      <c r="S25" s="79"/>
      <c r="T25" s="79"/>
      <c r="U25" s="79"/>
      <c r="V25" s="79"/>
      <c r="W25" s="96"/>
      <c r="X25" s="90"/>
      <c r="Y25" s="91"/>
    </row>
    <row r="26" s="77" customFormat="true" ht="30" hidden="false" customHeight="true" outlineLevel="0" collapsed="false">
      <c r="A26" s="78"/>
      <c r="B26" s="79"/>
      <c r="C26" s="79"/>
      <c r="D26" s="79"/>
      <c r="E26" s="79"/>
      <c r="F26" s="79"/>
      <c r="G26" s="79"/>
      <c r="H26" s="79"/>
      <c r="I26" s="80"/>
      <c r="J26" s="81"/>
      <c r="K26" s="79"/>
      <c r="L26" s="79"/>
      <c r="M26" s="82"/>
      <c r="N26" s="83"/>
      <c r="O26" s="84"/>
      <c r="P26" s="80"/>
      <c r="Q26" s="85"/>
      <c r="R26" s="90"/>
      <c r="S26" s="79"/>
      <c r="T26" s="95"/>
      <c r="U26" s="79"/>
      <c r="V26" s="79"/>
      <c r="W26" s="96"/>
      <c r="X26" s="90"/>
      <c r="Y26" s="91"/>
    </row>
    <row r="27" s="77" customFormat="true" ht="79.5" hidden="false" customHeight="true" outlineLevel="0" collapsed="false">
      <c r="A27" s="78"/>
      <c r="B27" s="79"/>
      <c r="C27" s="79"/>
      <c r="D27" s="79"/>
      <c r="E27" s="79"/>
      <c r="F27" s="79"/>
      <c r="G27" s="79"/>
      <c r="H27" s="79"/>
      <c r="I27" s="80"/>
      <c r="J27" s="81"/>
      <c r="K27" s="79"/>
      <c r="L27" s="79"/>
      <c r="M27" s="82"/>
      <c r="N27" s="83"/>
      <c r="O27" s="84"/>
      <c r="P27" s="80"/>
      <c r="Q27" s="85"/>
      <c r="R27" s="90"/>
      <c r="S27" s="79"/>
      <c r="T27" s="79"/>
      <c r="U27" s="79"/>
      <c r="V27" s="79"/>
      <c r="W27" s="96"/>
      <c r="X27" s="90"/>
      <c r="Y27" s="91"/>
    </row>
    <row r="28" s="77" customFormat="true" ht="79.5" hidden="false" customHeight="true" outlineLevel="0" collapsed="false">
      <c r="A28" s="78"/>
      <c r="B28" s="79"/>
      <c r="C28" s="79"/>
      <c r="D28" s="79"/>
      <c r="E28" s="79"/>
      <c r="F28" s="79"/>
      <c r="G28" s="79"/>
      <c r="H28" s="79"/>
      <c r="I28" s="80"/>
      <c r="J28" s="81"/>
      <c r="K28" s="79"/>
      <c r="L28" s="79"/>
      <c r="M28" s="82"/>
      <c r="N28" s="83"/>
      <c r="O28" s="84"/>
      <c r="P28" s="80"/>
      <c r="Q28" s="85"/>
      <c r="R28" s="90"/>
      <c r="S28" s="79"/>
      <c r="T28" s="79"/>
      <c r="U28" s="79"/>
      <c r="V28" s="79"/>
      <c r="W28" s="96"/>
      <c r="X28" s="97"/>
      <c r="Y28" s="91"/>
    </row>
    <row r="29" s="77" customFormat="true" ht="79.5" hidden="false" customHeight="true" outlineLevel="0" collapsed="false">
      <c r="A29" s="78"/>
      <c r="B29" s="79"/>
      <c r="C29" s="79"/>
      <c r="D29" s="79"/>
      <c r="E29" s="79"/>
      <c r="F29" s="79"/>
      <c r="G29" s="79"/>
      <c r="H29" s="79"/>
      <c r="I29" s="80"/>
      <c r="J29" s="81"/>
      <c r="K29" s="79"/>
      <c r="L29" s="79"/>
      <c r="M29" s="82"/>
      <c r="N29" s="83"/>
      <c r="O29" s="84"/>
      <c r="P29" s="80"/>
      <c r="Q29" s="85"/>
      <c r="R29" s="90"/>
      <c r="S29" s="79"/>
      <c r="T29" s="79"/>
      <c r="U29" s="79"/>
      <c r="V29" s="79"/>
      <c r="W29" s="96"/>
      <c r="X29" s="97"/>
      <c r="Y29" s="91"/>
    </row>
    <row r="30" s="77" customFormat="true" ht="79.5" hidden="false" customHeight="true" outlineLevel="0" collapsed="false">
      <c r="A30" s="78"/>
      <c r="B30" s="79"/>
      <c r="C30" s="79"/>
      <c r="D30" s="79"/>
      <c r="E30" s="79"/>
      <c r="F30" s="79"/>
      <c r="G30" s="79"/>
      <c r="H30" s="79"/>
      <c r="I30" s="80"/>
      <c r="J30" s="81"/>
      <c r="K30" s="79"/>
      <c r="L30" s="79"/>
      <c r="M30" s="82"/>
      <c r="N30" s="83"/>
      <c r="O30" s="84"/>
      <c r="P30" s="80"/>
      <c r="Q30" s="85"/>
      <c r="R30" s="90"/>
      <c r="S30" s="87"/>
      <c r="T30" s="79"/>
      <c r="U30" s="79"/>
      <c r="V30" s="79"/>
      <c r="W30" s="96"/>
      <c r="X30" s="97"/>
      <c r="Y30" s="91"/>
    </row>
    <row r="31" s="77" customFormat="true" ht="79.5" hidden="false" customHeight="true" outlineLevel="0" collapsed="false">
      <c r="A31" s="78"/>
      <c r="B31" s="79"/>
      <c r="C31" s="79"/>
      <c r="D31" s="79"/>
      <c r="E31" s="79"/>
      <c r="F31" s="79"/>
      <c r="G31" s="79"/>
      <c r="H31" s="79"/>
      <c r="I31" s="80"/>
      <c r="J31" s="81"/>
      <c r="K31" s="79"/>
      <c r="L31" s="79"/>
      <c r="M31" s="82"/>
      <c r="N31" s="83"/>
      <c r="O31" s="84"/>
      <c r="P31" s="80"/>
      <c r="Q31" s="85"/>
      <c r="R31" s="90"/>
      <c r="S31" s="87"/>
      <c r="T31" s="79"/>
      <c r="U31" s="79"/>
      <c r="V31" s="79"/>
      <c r="W31" s="96"/>
      <c r="X31" s="97"/>
      <c r="Y31" s="91"/>
    </row>
    <row r="32" s="98" customFormat="true" ht="79.5" hidden="false" customHeight="true" outlineLevel="0" collapsed="false">
      <c r="A32" s="78"/>
      <c r="B32" s="79"/>
      <c r="C32" s="79"/>
      <c r="D32" s="79"/>
      <c r="E32" s="79"/>
      <c r="F32" s="79"/>
      <c r="G32" s="79"/>
      <c r="H32" s="79"/>
      <c r="I32" s="80"/>
      <c r="J32" s="81"/>
      <c r="K32" s="79"/>
      <c r="L32" s="79"/>
      <c r="M32" s="82"/>
      <c r="N32" s="83"/>
      <c r="O32" s="84"/>
      <c r="P32" s="80"/>
      <c r="Q32" s="85"/>
      <c r="R32" s="90"/>
      <c r="S32" s="87"/>
      <c r="T32" s="79"/>
      <c r="U32" s="79"/>
      <c r="V32" s="79"/>
      <c r="W32" s="96"/>
      <c r="X32" s="97"/>
      <c r="Y32" s="91"/>
    </row>
    <row r="33" s="98" customFormat="true" ht="79.5" hidden="false" customHeight="true" outlineLevel="0" collapsed="false">
      <c r="A33" s="78"/>
      <c r="B33" s="79"/>
      <c r="C33" s="79"/>
      <c r="D33" s="79"/>
      <c r="E33" s="79"/>
      <c r="F33" s="79"/>
      <c r="G33" s="79"/>
      <c r="H33" s="79"/>
      <c r="I33" s="80"/>
      <c r="J33" s="81"/>
      <c r="K33" s="79"/>
      <c r="L33" s="79"/>
      <c r="M33" s="82"/>
      <c r="N33" s="83"/>
      <c r="O33" s="84"/>
      <c r="P33" s="80"/>
      <c r="Q33" s="85"/>
      <c r="R33" s="90"/>
      <c r="S33" s="87"/>
      <c r="T33" s="79"/>
      <c r="U33" s="79"/>
      <c r="V33" s="79"/>
      <c r="W33" s="96"/>
      <c r="X33" s="97"/>
      <c r="Y33" s="91"/>
    </row>
    <row r="34" s="77" customFormat="true" ht="79.5" hidden="false" customHeight="true" outlineLevel="0" collapsed="false">
      <c r="A34" s="78"/>
      <c r="B34" s="79"/>
      <c r="C34" s="79"/>
      <c r="D34" s="79"/>
      <c r="E34" s="79"/>
      <c r="F34" s="79"/>
      <c r="G34" s="79"/>
      <c r="H34" s="79"/>
      <c r="I34" s="80"/>
      <c r="J34" s="81"/>
      <c r="K34" s="79"/>
      <c r="L34" s="79"/>
      <c r="M34" s="82"/>
      <c r="N34" s="83"/>
      <c r="O34" s="84"/>
      <c r="P34" s="80"/>
      <c r="Q34" s="85"/>
      <c r="R34" s="90"/>
      <c r="S34" s="87"/>
      <c r="T34" s="79"/>
      <c r="U34" s="79"/>
      <c r="V34" s="79"/>
      <c r="W34" s="96"/>
      <c r="X34" s="97"/>
      <c r="Y34" s="91"/>
      <c r="Z34" s="98"/>
      <c r="AA34" s="98"/>
    </row>
    <row r="35" s="77" customFormat="true" ht="79.5" hidden="false" customHeight="true" outlineLevel="0" collapsed="false">
      <c r="A35" s="78"/>
      <c r="B35" s="79"/>
      <c r="C35" s="79"/>
      <c r="D35" s="79"/>
      <c r="E35" s="79"/>
      <c r="F35" s="79"/>
      <c r="G35" s="79"/>
      <c r="H35" s="79"/>
      <c r="I35" s="80"/>
      <c r="J35" s="81"/>
      <c r="K35" s="79"/>
      <c r="L35" s="79"/>
      <c r="M35" s="82"/>
      <c r="N35" s="83"/>
      <c r="O35" s="84"/>
      <c r="P35" s="80"/>
      <c r="Q35" s="85"/>
      <c r="R35" s="90"/>
      <c r="S35" s="87"/>
      <c r="T35" s="79"/>
      <c r="U35" s="79"/>
      <c r="V35" s="79"/>
      <c r="W35" s="96"/>
      <c r="X35" s="97"/>
      <c r="Y35" s="91"/>
      <c r="Z35" s="98"/>
      <c r="AA35" s="98"/>
    </row>
    <row r="36" s="77" customFormat="true" ht="79.5" hidden="false" customHeight="true" outlineLevel="0" collapsed="false">
      <c r="A36" s="78"/>
      <c r="B36" s="95"/>
      <c r="C36" s="95"/>
      <c r="D36" s="95"/>
      <c r="E36" s="95"/>
      <c r="F36" s="95"/>
      <c r="G36" s="87"/>
      <c r="H36" s="87"/>
      <c r="I36" s="99"/>
      <c r="J36" s="81"/>
      <c r="K36" s="79"/>
      <c r="L36" s="95"/>
      <c r="M36" s="99"/>
      <c r="N36" s="100"/>
      <c r="O36" s="84"/>
      <c r="P36" s="99"/>
      <c r="Q36" s="101"/>
      <c r="R36" s="90"/>
      <c r="S36" s="87"/>
      <c r="T36" s="79"/>
      <c r="U36" s="79"/>
      <c r="V36" s="79"/>
      <c r="W36" s="96"/>
      <c r="X36" s="97"/>
      <c r="Y36" s="91"/>
      <c r="Z36" s="98"/>
      <c r="AA36" s="98"/>
    </row>
    <row r="37" s="77" customFormat="true" ht="79.5" hidden="false" customHeight="true" outlineLevel="0" collapsed="false">
      <c r="A37" s="78"/>
      <c r="B37" s="95"/>
      <c r="C37" s="95"/>
      <c r="D37" s="95"/>
      <c r="E37" s="95"/>
      <c r="F37" s="95"/>
      <c r="G37" s="87"/>
      <c r="H37" s="87"/>
      <c r="I37" s="99"/>
      <c r="J37" s="81"/>
      <c r="K37" s="79"/>
      <c r="L37" s="95"/>
      <c r="M37" s="99"/>
      <c r="N37" s="100"/>
      <c r="O37" s="84"/>
      <c r="P37" s="102"/>
      <c r="Q37" s="101"/>
      <c r="R37" s="90"/>
      <c r="S37" s="87"/>
      <c r="T37" s="79"/>
      <c r="U37" s="79"/>
      <c r="V37" s="79"/>
      <c r="W37" s="96"/>
      <c r="X37" s="97"/>
      <c r="Y37" s="91"/>
      <c r="Z37" s="98"/>
      <c r="AA37" s="98"/>
    </row>
    <row r="38" s="77" customFormat="true" ht="30" hidden="false" customHeight="true" outlineLevel="0" collapsed="false">
      <c r="A38" s="78"/>
      <c r="B38" s="95"/>
      <c r="C38" s="95"/>
      <c r="D38" s="95"/>
      <c r="E38" s="95"/>
      <c r="F38" s="95"/>
      <c r="G38" s="87"/>
      <c r="H38" s="87"/>
      <c r="I38" s="99"/>
      <c r="J38" s="92"/>
      <c r="K38" s="79"/>
      <c r="L38" s="95"/>
      <c r="M38" s="99"/>
      <c r="N38" s="83"/>
      <c r="O38" s="84"/>
      <c r="P38" s="99"/>
      <c r="Q38" s="101"/>
      <c r="R38" s="90"/>
      <c r="S38" s="87"/>
      <c r="T38" s="79"/>
      <c r="U38" s="79"/>
      <c r="V38" s="79"/>
      <c r="W38" s="96"/>
      <c r="X38" s="97"/>
      <c r="Y38" s="91"/>
      <c r="Z38" s="98"/>
      <c r="AA38" s="98"/>
    </row>
    <row r="39" s="77" customFormat="true" ht="30" hidden="false" customHeight="true" outlineLevel="0" collapsed="false">
      <c r="A39" s="78"/>
      <c r="B39" s="95"/>
      <c r="C39" s="95"/>
      <c r="D39" s="95"/>
      <c r="E39" s="95"/>
      <c r="F39" s="95"/>
      <c r="G39" s="87"/>
      <c r="H39" s="87"/>
      <c r="I39" s="99"/>
      <c r="J39" s="92"/>
      <c r="K39" s="79"/>
      <c r="L39" s="95"/>
      <c r="M39" s="99"/>
      <c r="N39" s="83"/>
      <c r="O39" s="84"/>
      <c r="P39" s="102"/>
      <c r="Q39" s="103"/>
      <c r="R39" s="97"/>
      <c r="S39" s="87"/>
      <c r="T39" s="79"/>
      <c r="U39" s="79"/>
      <c r="V39" s="79"/>
      <c r="W39" s="96"/>
      <c r="X39" s="97"/>
      <c r="Y39" s="91"/>
      <c r="Z39" s="98"/>
      <c r="AA39" s="98"/>
    </row>
    <row r="40" s="77" customFormat="true" ht="30" hidden="false" customHeight="true" outlineLevel="0" collapsed="false">
      <c r="A40" s="78"/>
      <c r="B40" s="95"/>
      <c r="C40" s="95"/>
      <c r="D40" s="95"/>
      <c r="E40" s="95"/>
      <c r="F40" s="95"/>
      <c r="G40" s="87"/>
      <c r="H40" s="87"/>
      <c r="I40" s="99"/>
      <c r="J40" s="81"/>
      <c r="K40" s="79"/>
      <c r="L40" s="95"/>
      <c r="M40" s="99"/>
      <c r="N40" s="83"/>
      <c r="O40" s="84"/>
      <c r="P40" s="99"/>
      <c r="Q40" s="104"/>
      <c r="R40" s="97"/>
      <c r="S40" s="87"/>
      <c r="T40" s="79"/>
      <c r="U40" s="79"/>
      <c r="V40" s="79"/>
      <c r="W40" s="96"/>
      <c r="X40" s="97"/>
      <c r="Y40" s="91"/>
      <c r="Z40" s="98"/>
      <c r="AA40" s="98"/>
    </row>
    <row r="41" s="77" customFormat="true" ht="79.5" hidden="false" customHeight="true" outlineLevel="0" collapsed="false">
      <c r="A41" s="78"/>
      <c r="B41" s="95"/>
      <c r="C41" s="95"/>
      <c r="D41" s="95"/>
      <c r="E41" s="95"/>
      <c r="F41" s="95"/>
      <c r="G41" s="87"/>
      <c r="H41" s="87"/>
      <c r="I41" s="99"/>
      <c r="J41" s="81"/>
      <c r="K41" s="79"/>
      <c r="L41" s="95"/>
      <c r="M41" s="99"/>
      <c r="N41" s="100"/>
      <c r="O41" s="84"/>
      <c r="P41" s="102"/>
      <c r="Q41" s="103"/>
      <c r="R41" s="97"/>
      <c r="S41" s="87"/>
      <c r="T41" s="79"/>
      <c r="U41" s="79"/>
      <c r="V41" s="79"/>
      <c r="W41" s="96"/>
      <c r="X41" s="97"/>
      <c r="Y41" s="91"/>
      <c r="Z41" s="98"/>
      <c r="AA41" s="98"/>
    </row>
    <row r="42" s="77" customFormat="true" ht="79.5" hidden="false" customHeight="true" outlineLevel="0" collapsed="false">
      <c r="A42" s="78"/>
      <c r="B42" s="95"/>
      <c r="C42" s="95"/>
      <c r="D42" s="95"/>
      <c r="E42" s="95"/>
      <c r="F42" s="95"/>
      <c r="G42" s="87"/>
      <c r="H42" s="87"/>
      <c r="I42" s="99"/>
      <c r="J42" s="81"/>
      <c r="K42" s="79"/>
      <c r="L42" s="95"/>
      <c r="M42" s="99"/>
      <c r="N42" s="100"/>
      <c r="O42" s="84"/>
      <c r="P42" s="99"/>
      <c r="Q42" s="104"/>
      <c r="R42" s="97"/>
      <c r="S42" s="87"/>
      <c r="T42" s="79"/>
      <c r="U42" s="79"/>
      <c r="V42" s="79"/>
      <c r="W42" s="96"/>
      <c r="X42" s="97"/>
      <c r="Y42" s="91"/>
      <c r="Z42" s="98"/>
      <c r="AA42" s="98"/>
    </row>
    <row r="43" s="77" customFormat="true" ht="79.5" hidden="false" customHeight="true" outlineLevel="0" collapsed="false">
      <c r="A43" s="78"/>
      <c r="B43" s="95"/>
      <c r="C43" s="95"/>
      <c r="D43" s="95"/>
      <c r="E43" s="95"/>
      <c r="F43" s="95"/>
      <c r="G43" s="87"/>
      <c r="H43" s="87"/>
      <c r="I43" s="99"/>
      <c r="J43" s="81"/>
      <c r="K43" s="79"/>
      <c r="L43" s="95"/>
      <c r="M43" s="99"/>
      <c r="N43" s="100"/>
      <c r="O43" s="84"/>
      <c r="P43" s="102"/>
      <c r="Q43" s="103"/>
      <c r="R43" s="97"/>
      <c r="S43" s="87"/>
      <c r="T43" s="79"/>
      <c r="U43" s="79"/>
      <c r="V43" s="79"/>
      <c r="W43" s="96"/>
      <c r="X43" s="97"/>
      <c r="Y43" s="91"/>
      <c r="Z43" s="98"/>
      <c r="AA43" s="98"/>
    </row>
    <row r="44" s="77" customFormat="true" ht="79.5" hidden="false" customHeight="true" outlineLevel="0" collapsed="false">
      <c r="A44" s="78"/>
      <c r="B44" s="95"/>
      <c r="C44" s="95"/>
      <c r="D44" s="95"/>
      <c r="E44" s="95"/>
      <c r="F44" s="95"/>
      <c r="G44" s="87"/>
      <c r="H44" s="87"/>
      <c r="I44" s="99"/>
      <c r="J44" s="81"/>
      <c r="K44" s="79"/>
      <c r="L44" s="95"/>
      <c r="M44" s="99"/>
      <c r="N44" s="100"/>
      <c r="O44" s="84"/>
      <c r="P44" s="99"/>
      <c r="Q44" s="104"/>
      <c r="R44" s="97"/>
      <c r="S44" s="87"/>
      <c r="T44" s="79"/>
      <c r="U44" s="79"/>
      <c r="V44" s="79"/>
      <c r="W44" s="96"/>
      <c r="X44" s="97"/>
      <c r="Y44" s="91"/>
      <c r="Z44" s="98"/>
      <c r="AA44" s="98"/>
    </row>
    <row r="45" s="77" customFormat="true" ht="79.5" hidden="false" customHeight="true" outlineLevel="0" collapsed="false">
      <c r="A45" s="78"/>
      <c r="B45" s="95"/>
      <c r="C45" s="95"/>
      <c r="D45" s="95"/>
      <c r="E45" s="95"/>
      <c r="F45" s="95"/>
      <c r="G45" s="87"/>
      <c r="H45" s="87"/>
      <c r="I45" s="99"/>
      <c r="J45" s="81"/>
      <c r="K45" s="79"/>
      <c r="L45" s="95"/>
      <c r="M45" s="99"/>
      <c r="N45" s="100"/>
      <c r="O45" s="84"/>
      <c r="P45" s="102"/>
      <c r="Q45" s="103"/>
      <c r="R45" s="97"/>
      <c r="S45" s="87"/>
      <c r="T45" s="79"/>
      <c r="U45" s="79"/>
      <c r="V45" s="79"/>
      <c r="W45" s="96"/>
      <c r="X45" s="97"/>
      <c r="Y45" s="91"/>
      <c r="Z45" s="98"/>
      <c r="AA45" s="98"/>
    </row>
    <row r="46" s="77" customFormat="true" ht="79.5" hidden="false" customHeight="true" outlineLevel="0" collapsed="false">
      <c r="A46" s="78"/>
      <c r="B46" s="95"/>
      <c r="C46" s="95"/>
      <c r="D46" s="95"/>
      <c r="E46" s="95"/>
      <c r="F46" s="95"/>
      <c r="G46" s="87"/>
      <c r="H46" s="87"/>
      <c r="I46" s="99"/>
      <c r="J46" s="81"/>
      <c r="K46" s="79"/>
      <c r="L46" s="95"/>
      <c r="M46" s="99"/>
      <c r="N46" s="100"/>
      <c r="O46" s="84"/>
      <c r="P46" s="99"/>
      <c r="Q46" s="104"/>
      <c r="R46" s="97"/>
      <c r="S46" s="87"/>
      <c r="T46" s="79"/>
      <c r="U46" s="79"/>
      <c r="V46" s="79"/>
      <c r="W46" s="96"/>
      <c r="X46" s="97"/>
      <c r="Y46" s="91"/>
      <c r="Z46" s="98"/>
      <c r="AA46" s="98"/>
    </row>
    <row r="47" s="77" customFormat="true" ht="79.5" hidden="false" customHeight="true" outlineLevel="0" collapsed="false">
      <c r="A47" s="78"/>
      <c r="B47" s="95"/>
      <c r="C47" s="95"/>
      <c r="D47" s="95"/>
      <c r="E47" s="95"/>
      <c r="F47" s="95"/>
      <c r="G47" s="87"/>
      <c r="H47" s="87"/>
      <c r="I47" s="99"/>
      <c r="J47" s="81"/>
      <c r="K47" s="79"/>
      <c r="L47" s="95"/>
      <c r="M47" s="99"/>
      <c r="N47" s="100"/>
      <c r="O47" s="84"/>
      <c r="P47" s="102"/>
      <c r="Q47" s="103"/>
      <c r="R47" s="97"/>
      <c r="S47" s="87"/>
      <c r="T47" s="79"/>
      <c r="U47" s="79"/>
      <c r="V47" s="79"/>
      <c r="W47" s="96"/>
      <c r="X47" s="97"/>
      <c r="Y47" s="91"/>
      <c r="Z47" s="98"/>
      <c r="AA47" s="98"/>
    </row>
    <row r="48" s="77" customFormat="true" ht="79.5" hidden="false" customHeight="true" outlineLevel="0" collapsed="false">
      <c r="A48" s="78"/>
      <c r="B48" s="95"/>
      <c r="C48" s="95"/>
      <c r="D48" s="95"/>
      <c r="E48" s="95"/>
      <c r="F48" s="95"/>
      <c r="G48" s="87"/>
      <c r="H48" s="87"/>
      <c r="I48" s="99"/>
      <c r="J48" s="81"/>
      <c r="K48" s="79"/>
      <c r="L48" s="95"/>
      <c r="M48" s="99"/>
      <c r="N48" s="100"/>
      <c r="O48" s="84"/>
      <c r="P48" s="99"/>
      <c r="Q48" s="104"/>
      <c r="R48" s="97"/>
      <c r="S48" s="87"/>
      <c r="T48" s="79"/>
      <c r="U48" s="79"/>
      <c r="V48" s="79"/>
      <c r="W48" s="96"/>
      <c r="X48" s="97"/>
      <c r="Y48" s="91"/>
      <c r="Z48" s="98"/>
      <c r="AA48" s="98"/>
    </row>
    <row r="49" s="77" customFormat="true" ht="79.5" hidden="false" customHeight="true" outlineLevel="0" collapsed="false">
      <c r="A49" s="78"/>
      <c r="B49" s="95"/>
      <c r="C49" s="95"/>
      <c r="D49" s="95"/>
      <c r="E49" s="95"/>
      <c r="F49" s="95"/>
      <c r="G49" s="87"/>
      <c r="H49" s="87"/>
      <c r="I49" s="99"/>
      <c r="J49" s="81"/>
      <c r="K49" s="79"/>
      <c r="L49" s="95"/>
      <c r="M49" s="99"/>
      <c r="N49" s="100"/>
      <c r="O49" s="84"/>
      <c r="P49" s="102"/>
      <c r="Q49" s="103"/>
      <c r="R49" s="97"/>
      <c r="S49" s="87"/>
      <c r="T49" s="79"/>
      <c r="U49" s="79"/>
      <c r="V49" s="79"/>
      <c r="W49" s="96"/>
      <c r="X49" s="97"/>
      <c r="Y49" s="91"/>
      <c r="Z49" s="98"/>
      <c r="AA49" s="98"/>
    </row>
    <row r="50" s="77" customFormat="true" ht="79.5" hidden="false" customHeight="true" outlineLevel="0" collapsed="false">
      <c r="A50" s="78"/>
      <c r="B50" s="95"/>
      <c r="C50" s="95"/>
      <c r="D50" s="95"/>
      <c r="E50" s="95"/>
      <c r="F50" s="95"/>
      <c r="G50" s="87"/>
      <c r="H50" s="87"/>
      <c r="I50" s="99"/>
      <c r="J50" s="81"/>
      <c r="K50" s="79"/>
      <c r="L50" s="95"/>
      <c r="M50" s="99"/>
      <c r="N50" s="100"/>
      <c r="O50" s="84"/>
      <c r="P50" s="99"/>
      <c r="Q50" s="104"/>
      <c r="R50" s="97"/>
      <c r="S50" s="87"/>
      <c r="T50" s="79"/>
      <c r="U50" s="79"/>
      <c r="V50" s="79"/>
      <c r="W50" s="96"/>
      <c r="X50" s="97"/>
      <c r="Y50" s="91"/>
      <c r="Z50" s="98"/>
      <c r="AA50" s="98"/>
    </row>
    <row r="51" s="77" customFormat="true" ht="79.5" hidden="false" customHeight="true" outlineLevel="0" collapsed="false">
      <c r="A51" s="78"/>
      <c r="B51" s="95"/>
      <c r="C51" s="95"/>
      <c r="D51" s="95"/>
      <c r="E51" s="95"/>
      <c r="F51" s="95"/>
      <c r="G51" s="87"/>
      <c r="H51" s="87"/>
      <c r="I51" s="99"/>
      <c r="J51" s="81"/>
      <c r="K51" s="79"/>
      <c r="L51" s="95"/>
      <c r="M51" s="99"/>
      <c r="N51" s="100"/>
      <c r="O51" s="84"/>
      <c r="P51" s="102"/>
      <c r="Q51" s="103"/>
      <c r="R51" s="97"/>
      <c r="S51" s="87"/>
      <c r="T51" s="79"/>
      <c r="U51" s="79"/>
      <c r="V51" s="79"/>
      <c r="W51" s="96"/>
      <c r="X51" s="97"/>
      <c r="Y51" s="91"/>
      <c r="Z51" s="98"/>
      <c r="AA51" s="98"/>
    </row>
    <row r="52" s="77" customFormat="true" ht="79.5" hidden="false" customHeight="true" outlineLevel="0" collapsed="false">
      <c r="A52" s="78"/>
      <c r="B52" s="95"/>
      <c r="C52" s="95"/>
      <c r="D52" s="95"/>
      <c r="E52" s="95"/>
      <c r="F52" s="95"/>
      <c r="G52" s="87"/>
      <c r="H52" s="87"/>
      <c r="I52" s="99"/>
      <c r="J52" s="81"/>
      <c r="K52" s="79"/>
      <c r="L52" s="95"/>
      <c r="M52" s="99"/>
      <c r="N52" s="100"/>
      <c r="O52" s="84"/>
      <c r="P52" s="99"/>
      <c r="Q52" s="104"/>
      <c r="R52" s="97"/>
      <c r="S52" s="87"/>
      <c r="T52" s="79"/>
      <c r="U52" s="79"/>
      <c r="V52" s="79"/>
      <c r="W52" s="96"/>
      <c r="X52" s="97"/>
      <c r="Y52" s="91"/>
      <c r="Z52" s="98"/>
      <c r="AA52" s="98"/>
    </row>
    <row r="53" s="77" customFormat="true" ht="79.5" hidden="false" customHeight="true" outlineLevel="0" collapsed="false">
      <c r="A53" s="78"/>
      <c r="B53" s="95"/>
      <c r="C53" s="95"/>
      <c r="D53" s="95"/>
      <c r="E53" s="95"/>
      <c r="F53" s="95"/>
      <c r="G53" s="87"/>
      <c r="H53" s="87"/>
      <c r="I53" s="99"/>
      <c r="J53" s="81"/>
      <c r="K53" s="79"/>
      <c r="L53" s="95"/>
      <c r="M53" s="99"/>
      <c r="N53" s="100"/>
      <c r="O53" s="84"/>
      <c r="P53" s="102"/>
      <c r="Q53" s="103"/>
      <c r="R53" s="97"/>
      <c r="S53" s="87"/>
      <c r="T53" s="79"/>
      <c r="U53" s="79"/>
      <c r="V53" s="79"/>
      <c r="W53" s="96"/>
      <c r="X53" s="97"/>
      <c r="Y53" s="91"/>
      <c r="Z53" s="98"/>
      <c r="AA53" s="98"/>
    </row>
    <row r="54" s="77" customFormat="true" ht="79.5" hidden="false" customHeight="true" outlineLevel="0" collapsed="false">
      <c r="A54" s="78"/>
      <c r="B54" s="95"/>
      <c r="C54" s="95"/>
      <c r="D54" s="95"/>
      <c r="E54" s="95"/>
      <c r="F54" s="95"/>
      <c r="G54" s="87"/>
      <c r="H54" s="87"/>
      <c r="I54" s="99"/>
      <c r="J54" s="81"/>
      <c r="K54" s="79"/>
      <c r="L54" s="95"/>
      <c r="M54" s="99"/>
      <c r="N54" s="100"/>
      <c r="O54" s="84"/>
      <c r="P54" s="99"/>
      <c r="Q54" s="104"/>
      <c r="R54" s="97"/>
      <c r="S54" s="87"/>
      <c r="T54" s="79"/>
      <c r="U54" s="79"/>
      <c r="V54" s="79"/>
      <c r="W54" s="96"/>
      <c r="X54" s="97"/>
      <c r="Y54" s="91"/>
      <c r="Z54" s="98"/>
      <c r="AA54" s="98"/>
    </row>
    <row r="55" s="77" customFormat="true" ht="79.5" hidden="false" customHeight="true" outlineLevel="0" collapsed="false">
      <c r="A55" s="78"/>
      <c r="B55" s="95"/>
      <c r="C55" s="95"/>
      <c r="D55" s="95"/>
      <c r="E55" s="95"/>
      <c r="F55" s="95"/>
      <c r="G55" s="87"/>
      <c r="H55" s="87"/>
      <c r="I55" s="99"/>
      <c r="J55" s="81"/>
      <c r="K55" s="79"/>
      <c r="L55" s="95"/>
      <c r="M55" s="99"/>
      <c r="N55" s="100"/>
      <c r="O55" s="84"/>
      <c r="P55" s="102"/>
      <c r="Q55" s="103"/>
      <c r="R55" s="97"/>
      <c r="S55" s="87"/>
      <c r="T55" s="79"/>
      <c r="U55" s="79"/>
      <c r="V55" s="79"/>
      <c r="W55" s="96"/>
      <c r="X55" s="97"/>
      <c r="Y55" s="91"/>
      <c r="Z55" s="98"/>
      <c r="AA55" s="98"/>
    </row>
    <row r="56" s="77" customFormat="true" ht="79.5" hidden="false" customHeight="true" outlineLevel="0" collapsed="false">
      <c r="A56" s="78"/>
      <c r="B56" s="95"/>
      <c r="C56" s="95"/>
      <c r="D56" s="95"/>
      <c r="E56" s="95"/>
      <c r="F56" s="95"/>
      <c r="G56" s="87"/>
      <c r="H56" s="87"/>
      <c r="I56" s="99"/>
      <c r="J56" s="81"/>
      <c r="K56" s="79"/>
      <c r="L56" s="95"/>
      <c r="M56" s="99"/>
      <c r="N56" s="100"/>
      <c r="O56" s="84"/>
      <c r="P56" s="99"/>
      <c r="Q56" s="104"/>
      <c r="R56" s="97"/>
      <c r="S56" s="87"/>
      <c r="T56" s="79"/>
      <c r="U56" s="79"/>
      <c r="V56" s="79"/>
      <c r="W56" s="96"/>
      <c r="X56" s="97"/>
      <c r="Y56" s="91"/>
      <c r="Z56" s="98"/>
      <c r="AA56" s="98"/>
    </row>
    <row r="57" s="77" customFormat="true" ht="79.5" hidden="false" customHeight="true" outlineLevel="0" collapsed="false">
      <c r="A57" s="78"/>
      <c r="B57" s="95"/>
      <c r="C57" s="95"/>
      <c r="D57" s="95"/>
      <c r="E57" s="95"/>
      <c r="F57" s="95"/>
      <c r="G57" s="87"/>
      <c r="H57" s="87"/>
      <c r="I57" s="99"/>
      <c r="J57" s="81"/>
      <c r="K57" s="79"/>
      <c r="L57" s="95"/>
      <c r="M57" s="99"/>
      <c r="N57" s="100"/>
      <c r="O57" s="84"/>
      <c r="P57" s="102"/>
      <c r="Q57" s="103"/>
      <c r="R57" s="97"/>
      <c r="S57" s="87"/>
      <c r="T57" s="79"/>
      <c r="U57" s="79"/>
      <c r="V57" s="79"/>
      <c r="W57" s="96"/>
      <c r="X57" s="97"/>
      <c r="Y57" s="91"/>
      <c r="Z57" s="98"/>
      <c r="AA57" s="98"/>
    </row>
    <row r="58" s="77" customFormat="true" ht="79.5" hidden="false" customHeight="true" outlineLevel="0" collapsed="false">
      <c r="A58" s="78"/>
      <c r="B58" s="95"/>
      <c r="C58" s="95"/>
      <c r="D58" s="95"/>
      <c r="E58" s="95"/>
      <c r="F58" s="95"/>
      <c r="G58" s="87"/>
      <c r="H58" s="87"/>
      <c r="I58" s="99"/>
      <c r="J58" s="81"/>
      <c r="K58" s="79"/>
      <c r="L58" s="95"/>
      <c r="M58" s="99"/>
      <c r="N58" s="100"/>
      <c r="O58" s="84"/>
      <c r="P58" s="99"/>
      <c r="Q58" s="104"/>
      <c r="R58" s="97"/>
      <c r="S58" s="87"/>
      <c r="T58" s="79"/>
      <c r="U58" s="79"/>
      <c r="V58" s="79"/>
      <c r="W58" s="96"/>
      <c r="X58" s="97"/>
      <c r="Y58" s="91"/>
      <c r="Z58" s="98"/>
      <c r="AA58" s="98"/>
    </row>
    <row r="59" s="77" customFormat="true" ht="79.5" hidden="false" customHeight="true" outlineLevel="0" collapsed="false">
      <c r="A59" s="78"/>
      <c r="B59" s="95"/>
      <c r="C59" s="95"/>
      <c r="D59" s="95"/>
      <c r="E59" s="95"/>
      <c r="F59" s="95"/>
      <c r="G59" s="87"/>
      <c r="H59" s="87"/>
      <c r="I59" s="99"/>
      <c r="J59" s="81"/>
      <c r="K59" s="79"/>
      <c r="L59" s="95"/>
      <c r="M59" s="99"/>
      <c r="N59" s="100"/>
      <c r="O59" s="84"/>
      <c r="P59" s="102"/>
      <c r="Q59" s="103"/>
      <c r="R59" s="97"/>
      <c r="S59" s="87"/>
      <c r="T59" s="79"/>
      <c r="U59" s="79"/>
      <c r="V59" s="79"/>
      <c r="W59" s="96"/>
      <c r="X59" s="97"/>
      <c r="Y59" s="91"/>
      <c r="Z59" s="98"/>
      <c r="AA59" s="98"/>
    </row>
    <row r="60" s="77" customFormat="true" ht="79.5" hidden="false" customHeight="true" outlineLevel="0" collapsed="false">
      <c r="A60" s="78"/>
      <c r="B60" s="95"/>
      <c r="C60" s="95"/>
      <c r="D60" s="95"/>
      <c r="E60" s="95"/>
      <c r="F60" s="95"/>
      <c r="G60" s="87"/>
      <c r="H60" s="87"/>
      <c r="I60" s="99"/>
      <c r="J60" s="81"/>
      <c r="K60" s="79"/>
      <c r="L60" s="95"/>
      <c r="M60" s="99"/>
      <c r="N60" s="100"/>
      <c r="O60" s="84"/>
      <c r="P60" s="99"/>
      <c r="Q60" s="104"/>
      <c r="R60" s="97"/>
      <c r="S60" s="87"/>
      <c r="T60" s="79"/>
      <c r="U60" s="79"/>
      <c r="V60" s="79"/>
      <c r="W60" s="96"/>
      <c r="X60" s="97"/>
      <c r="Y60" s="91"/>
      <c r="Z60" s="98"/>
      <c r="AA60" s="98"/>
    </row>
    <row r="61" s="77" customFormat="true" ht="79.5" hidden="false" customHeight="true" outlineLevel="0" collapsed="false">
      <c r="A61" s="78"/>
      <c r="B61" s="95"/>
      <c r="C61" s="95"/>
      <c r="D61" s="95"/>
      <c r="E61" s="95"/>
      <c r="F61" s="95"/>
      <c r="G61" s="87"/>
      <c r="H61" s="87"/>
      <c r="I61" s="99"/>
      <c r="J61" s="81"/>
      <c r="K61" s="79"/>
      <c r="L61" s="95"/>
      <c r="M61" s="99"/>
      <c r="N61" s="100"/>
      <c r="O61" s="84"/>
      <c r="P61" s="102"/>
      <c r="Q61" s="103"/>
      <c r="R61" s="97"/>
      <c r="S61" s="87"/>
      <c r="T61" s="79"/>
      <c r="U61" s="79"/>
      <c r="V61" s="79"/>
      <c r="W61" s="96"/>
      <c r="X61" s="97"/>
      <c r="Y61" s="91"/>
      <c r="Z61" s="98"/>
      <c r="AA61" s="98"/>
    </row>
    <row r="62" s="77" customFormat="true" ht="79.5" hidden="false" customHeight="true" outlineLevel="0" collapsed="false">
      <c r="A62" s="78"/>
      <c r="B62" s="95"/>
      <c r="C62" s="95"/>
      <c r="D62" s="95"/>
      <c r="E62" s="95"/>
      <c r="F62" s="95"/>
      <c r="G62" s="87"/>
      <c r="H62" s="87"/>
      <c r="I62" s="99"/>
      <c r="J62" s="81"/>
      <c r="K62" s="79"/>
      <c r="L62" s="95"/>
      <c r="M62" s="99"/>
      <c r="N62" s="100"/>
      <c r="O62" s="84"/>
      <c r="P62" s="99"/>
      <c r="Q62" s="104"/>
      <c r="R62" s="97"/>
      <c r="S62" s="87"/>
      <c r="T62" s="79"/>
      <c r="U62" s="79"/>
      <c r="V62" s="79"/>
      <c r="W62" s="96"/>
      <c r="X62" s="97"/>
      <c r="Y62" s="91"/>
      <c r="Z62" s="98"/>
      <c r="AA62" s="98"/>
    </row>
    <row r="63" s="77" customFormat="true" ht="79.5" hidden="false" customHeight="true" outlineLevel="0" collapsed="false">
      <c r="A63" s="78"/>
      <c r="B63" s="95"/>
      <c r="C63" s="95"/>
      <c r="D63" s="95"/>
      <c r="E63" s="95"/>
      <c r="F63" s="95"/>
      <c r="G63" s="87"/>
      <c r="H63" s="87"/>
      <c r="I63" s="99"/>
      <c r="J63" s="81"/>
      <c r="K63" s="79"/>
      <c r="L63" s="95"/>
      <c r="M63" s="99"/>
      <c r="N63" s="100"/>
      <c r="O63" s="84"/>
      <c r="P63" s="102"/>
      <c r="Q63" s="103"/>
      <c r="R63" s="97"/>
      <c r="S63" s="87"/>
      <c r="T63" s="79"/>
      <c r="U63" s="79"/>
      <c r="V63" s="79"/>
      <c r="W63" s="96"/>
      <c r="X63" s="97"/>
      <c r="Y63" s="91"/>
      <c r="Z63" s="98"/>
      <c r="AA63" s="98"/>
    </row>
    <row r="64" s="98" customFormat="true" ht="79.5" hidden="false" customHeight="true" outlineLevel="0" collapsed="false">
      <c r="A64" s="78"/>
      <c r="B64" s="95"/>
      <c r="C64" s="95"/>
      <c r="D64" s="95"/>
      <c r="E64" s="95"/>
      <c r="F64" s="95"/>
      <c r="G64" s="87"/>
      <c r="H64" s="87"/>
      <c r="I64" s="99"/>
      <c r="J64" s="81"/>
      <c r="K64" s="79"/>
      <c r="L64" s="95"/>
      <c r="M64" s="99"/>
      <c r="N64" s="100"/>
      <c r="O64" s="84"/>
      <c r="P64" s="99"/>
      <c r="Q64" s="104"/>
      <c r="R64" s="97"/>
      <c r="S64" s="87"/>
      <c r="T64" s="79"/>
      <c r="U64" s="79"/>
      <c r="V64" s="79"/>
      <c r="W64" s="96"/>
      <c r="X64" s="97"/>
      <c r="Y64" s="91"/>
    </row>
    <row r="65" s="98" customFormat="true" ht="79.5" hidden="false" customHeight="true" outlineLevel="0" collapsed="false">
      <c r="A65" s="78"/>
      <c r="B65" s="95"/>
      <c r="C65" s="95"/>
      <c r="D65" s="95"/>
      <c r="E65" s="95"/>
      <c r="F65" s="95"/>
      <c r="G65" s="87"/>
      <c r="H65" s="87"/>
      <c r="I65" s="99"/>
      <c r="J65" s="81"/>
      <c r="K65" s="79"/>
      <c r="L65" s="95"/>
      <c r="M65" s="99"/>
      <c r="N65" s="100"/>
      <c r="O65" s="84"/>
      <c r="P65" s="102"/>
      <c r="Q65" s="103"/>
      <c r="R65" s="97"/>
      <c r="S65" s="87"/>
      <c r="T65" s="79"/>
      <c r="U65" s="79"/>
      <c r="V65" s="79"/>
      <c r="W65" s="96"/>
      <c r="X65" s="97"/>
      <c r="Y65" s="91"/>
    </row>
    <row r="66" s="98" customFormat="true" ht="79.5" hidden="false" customHeight="true" outlineLevel="0" collapsed="false">
      <c r="A66" s="78"/>
      <c r="B66" s="95"/>
      <c r="C66" s="95"/>
      <c r="D66" s="95"/>
      <c r="E66" s="95"/>
      <c r="F66" s="95"/>
      <c r="G66" s="87"/>
      <c r="H66" s="87"/>
      <c r="I66" s="99"/>
      <c r="J66" s="81"/>
      <c r="K66" s="79"/>
      <c r="L66" s="95"/>
      <c r="M66" s="99"/>
      <c r="N66" s="100"/>
      <c r="O66" s="84"/>
      <c r="P66" s="99"/>
      <c r="Q66" s="104"/>
      <c r="R66" s="97"/>
      <c r="S66" s="87"/>
      <c r="T66" s="79"/>
      <c r="U66" s="79"/>
      <c r="V66" s="79"/>
      <c r="W66" s="96"/>
      <c r="X66" s="97"/>
      <c r="Y66" s="91"/>
    </row>
    <row r="67" s="98" customFormat="true" ht="79.5" hidden="false" customHeight="true" outlineLevel="0" collapsed="false">
      <c r="A67" s="78"/>
      <c r="B67" s="95"/>
      <c r="C67" s="95"/>
      <c r="D67" s="95"/>
      <c r="E67" s="95"/>
      <c r="F67" s="95"/>
      <c r="G67" s="87"/>
      <c r="H67" s="87"/>
      <c r="I67" s="99"/>
      <c r="J67" s="81"/>
      <c r="K67" s="79"/>
      <c r="L67" s="95"/>
      <c r="M67" s="99"/>
      <c r="N67" s="100"/>
      <c r="O67" s="84"/>
      <c r="P67" s="102"/>
      <c r="Q67" s="103"/>
      <c r="R67" s="97"/>
      <c r="S67" s="87"/>
      <c r="T67" s="79"/>
      <c r="U67" s="79"/>
      <c r="V67" s="79"/>
      <c r="W67" s="96"/>
      <c r="X67" s="97"/>
      <c r="Y67" s="91"/>
    </row>
    <row r="68" s="98" customFormat="true" ht="30" hidden="false" customHeight="true" outlineLevel="0" collapsed="false">
      <c r="A68" s="78"/>
      <c r="B68" s="95"/>
      <c r="C68" s="95"/>
      <c r="D68" s="95"/>
      <c r="E68" s="95"/>
      <c r="F68" s="95"/>
      <c r="G68" s="87"/>
      <c r="H68" s="87"/>
      <c r="I68" s="99"/>
      <c r="J68" s="92"/>
      <c r="K68" s="79"/>
      <c r="L68" s="95"/>
      <c r="M68" s="99"/>
      <c r="N68" s="83"/>
      <c r="O68" s="84"/>
      <c r="P68" s="99"/>
      <c r="Q68" s="104"/>
      <c r="R68" s="97"/>
      <c r="S68" s="87"/>
      <c r="T68" s="79"/>
      <c r="U68" s="79"/>
      <c r="V68" s="79"/>
      <c r="W68" s="96"/>
      <c r="X68" s="97"/>
      <c r="Y68" s="91"/>
    </row>
    <row r="69" s="98" customFormat="true" ht="30" hidden="false" customHeight="true" outlineLevel="0" collapsed="false">
      <c r="A69" s="78"/>
      <c r="B69" s="95"/>
      <c r="C69" s="95"/>
      <c r="D69" s="95"/>
      <c r="E69" s="95"/>
      <c r="F69" s="95"/>
      <c r="G69" s="87"/>
      <c r="H69" s="87"/>
      <c r="I69" s="99"/>
      <c r="J69" s="92"/>
      <c r="K69" s="79"/>
      <c r="L69" s="95"/>
      <c r="M69" s="99"/>
      <c r="N69" s="83"/>
      <c r="O69" s="84"/>
      <c r="P69" s="102"/>
      <c r="Q69" s="103"/>
      <c r="R69" s="97"/>
      <c r="S69" s="87"/>
      <c r="T69" s="79"/>
      <c r="U69" s="79"/>
      <c r="V69" s="79"/>
      <c r="W69" s="96"/>
      <c r="X69" s="97"/>
      <c r="Y69" s="91"/>
    </row>
    <row r="70" s="98" customFormat="true" ht="30" hidden="false" customHeight="true" outlineLevel="0" collapsed="false">
      <c r="A70" s="78"/>
      <c r="B70" s="95"/>
      <c r="C70" s="95"/>
      <c r="D70" s="95"/>
      <c r="E70" s="95"/>
      <c r="F70" s="95"/>
      <c r="G70" s="87"/>
      <c r="H70" s="87"/>
      <c r="I70" s="99"/>
      <c r="J70" s="92"/>
      <c r="K70" s="79"/>
      <c r="L70" s="95"/>
      <c r="M70" s="99"/>
      <c r="N70" s="83"/>
      <c r="O70" s="84"/>
      <c r="P70" s="99"/>
      <c r="Q70" s="104"/>
      <c r="R70" s="97"/>
      <c r="S70" s="87"/>
      <c r="T70" s="79"/>
      <c r="U70" s="79"/>
      <c r="V70" s="79"/>
      <c r="W70" s="96"/>
      <c r="X70" s="97"/>
      <c r="Y70" s="91"/>
    </row>
    <row r="71" s="98" customFormat="true" ht="30" hidden="false" customHeight="true" outlineLevel="0" collapsed="false">
      <c r="A71" s="78"/>
      <c r="B71" s="95"/>
      <c r="C71" s="95"/>
      <c r="D71" s="95"/>
      <c r="E71" s="95"/>
      <c r="F71" s="95"/>
      <c r="G71" s="87"/>
      <c r="H71" s="87"/>
      <c r="I71" s="99"/>
      <c r="J71" s="81"/>
      <c r="K71" s="79"/>
      <c r="L71" s="95"/>
      <c r="M71" s="99"/>
      <c r="N71" s="83"/>
      <c r="O71" s="84"/>
      <c r="P71" s="102"/>
      <c r="Q71" s="103"/>
      <c r="R71" s="97"/>
      <c r="S71" s="87"/>
      <c r="T71" s="79"/>
      <c r="U71" s="79"/>
      <c r="V71" s="79"/>
      <c r="W71" s="96"/>
      <c r="X71" s="97"/>
      <c r="Y71" s="91"/>
    </row>
    <row r="72" s="98" customFormat="true" ht="30" hidden="false" customHeight="true" outlineLevel="0" collapsed="false">
      <c r="A72" s="78"/>
      <c r="B72" s="95"/>
      <c r="C72" s="95"/>
      <c r="D72" s="95"/>
      <c r="E72" s="95"/>
      <c r="F72" s="95"/>
      <c r="G72" s="87"/>
      <c r="H72" s="87"/>
      <c r="I72" s="99"/>
      <c r="J72" s="81"/>
      <c r="K72" s="79"/>
      <c r="L72" s="95"/>
      <c r="M72" s="99"/>
      <c r="N72" s="83"/>
      <c r="O72" s="84"/>
      <c r="P72" s="99"/>
      <c r="Q72" s="104"/>
      <c r="R72" s="97"/>
      <c r="S72" s="87"/>
      <c r="T72" s="79"/>
      <c r="U72" s="79"/>
      <c r="V72" s="79"/>
      <c r="W72" s="96"/>
      <c r="X72" s="97"/>
      <c r="Y72" s="91"/>
    </row>
    <row r="73" s="98" customFormat="true" ht="30" hidden="false" customHeight="true" outlineLevel="0" collapsed="false">
      <c r="A73" s="78"/>
      <c r="B73" s="95"/>
      <c r="C73" s="95"/>
      <c r="D73" s="95"/>
      <c r="E73" s="95"/>
      <c r="F73" s="95"/>
      <c r="G73" s="87"/>
      <c r="H73" s="87"/>
      <c r="I73" s="99"/>
      <c r="J73" s="81"/>
      <c r="K73" s="79"/>
      <c r="L73" s="95"/>
      <c r="M73" s="99"/>
      <c r="N73" s="83"/>
      <c r="O73" s="93"/>
      <c r="P73" s="102"/>
      <c r="Q73" s="103"/>
      <c r="R73" s="97"/>
      <c r="S73" s="87"/>
      <c r="T73" s="79"/>
      <c r="U73" s="79"/>
      <c r="V73" s="79"/>
      <c r="W73" s="96"/>
      <c r="X73" s="97"/>
      <c r="Y73" s="91"/>
    </row>
    <row r="74" s="98" customFormat="true" ht="30" hidden="false" customHeight="true" outlineLevel="0" collapsed="false">
      <c r="A74" s="78"/>
      <c r="B74" s="95"/>
      <c r="C74" s="95"/>
      <c r="D74" s="95"/>
      <c r="E74" s="95"/>
      <c r="F74" s="95"/>
      <c r="G74" s="87"/>
      <c r="H74" s="87"/>
      <c r="I74" s="99"/>
      <c r="J74" s="81"/>
      <c r="K74" s="79"/>
      <c r="L74" s="95"/>
      <c r="M74" s="99"/>
      <c r="N74" s="83"/>
      <c r="O74" s="93"/>
      <c r="P74" s="99"/>
      <c r="Q74" s="104"/>
      <c r="R74" s="97"/>
      <c r="S74" s="87"/>
      <c r="T74" s="79"/>
      <c r="U74" s="79"/>
      <c r="V74" s="79"/>
      <c r="W74" s="96"/>
      <c r="X74" s="97"/>
      <c r="Y74" s="91"/>
    </row>
    <row r="75" s="98" customFormat="true" ht="30" hidden="false" customHeight="true" outlineLevel="0" collapsed="false">
      <c r="A75" s="78"/>
      <c r="B75" s="95"/>
      <c r="C75" s="95"/>
      <c r="D75" s="95"/>
      <c r="E75" s="95"/>
      <c r="F75" s="95"/>
      <c r="G75" s="87"/>
      <c r="H75" s="87"/>
      <c r="I75" s="99"/>
      <c r="J75" s="81"/>
      <c r="K75" s="79"/>
      <c r="L75" s="95"/>
      <c r="M75" s="99"/>
      <c r="N75" s="83"/>
      <c r="O75" s="93"/>
      <c r="P75" s="102"/>
      <c r="Q75" s="103"/>
      <c r="R75" s="97"/>
      <c r="S75" s="87"/>
      <c r="T75" s="79"/>
      <c r="U75" s="79"/>
      <c r="V75" s="79"/>
      <c r="W75" s="96"/>
      <c r="X75" s="97"/>
      <c r="Y75" s="91"/>
    </row>
    <row r="76" s="98" customFormat="true" ht="30" hidden="false" customHeight="true" outlineLevel="0" collapsed="false">
      <c r="A76" s="78"/>
      <c r="B76" s="95"/>
      <c r="C76" s="95"/>
      <c r="D76" s="95"/>
      <c r="E76" s="95"/>
      <c r="F76" s="95"/>
      <c r="G76" s="87"/>
      <c r="H76" s="87"/>
      <c r="I76" s="99"/>
      <c r="J76" s="81"/>
      <c r="K76" s="79"/>
      <c r="L76" s="95"/>
      <c r="M76" s="99"/>
      <c r="N76" s="83"/>
      <c r="O76" s="84"/>
      <c r="P76" s="99"/>
      <c r="Q76" s="104"/>
      <c r="R76" s="97"/>
      <c r="S76" s="87"/>
      <c r="T76" s="79"/>
      <c r="U76" s="79"/>
      <c r="V76" s="79"/>
      <c r="W76" s="96"/>
      <c r="X76" s="97"/>
      <c r="Y76" s="91"/>
    </row>
    <row r="77" s="98" customFormat="true" ht="79.5" hidden="false" customHeight="true" outlineLevel="0" collapsed="false">
      <c r="A77" s="78"/>
      <c r="B77" s="95"/>
      <c r="C77" s="95"/>
      <c r="D77" s="95"/>
      <c r="E77" s="95"/>
      <c r="F77" s="95"/>
      <c r="G77" s="87"/>
      <c r="H77" s="87"/>
      <c r="I77" s="99"/>
      <c r="J77" s="81"/>
      <c r="K77" s="79"/>
      <c r="L77" s="95"/>
      <c r="M77" s="99"/>
      <c r="N77" s="100"/>
      <c r="O77" s="84"/>
      <c r="P77" s="102"/>
      <c r="Q77" s="103"/>
      <c r="R77" s="97"/>
      <c r="S77" s="87"/>
      <c r="T77" s="79"/>
      <c r="U77" s="79"/>
      <c r="V77" s="79"/>
      <c r="W77" s="96"/>
      <c r="X77" s="97"/>
      <c r="Y77" s="91"/>
    </row>
    <row r="78" s="98" customFormat="true" ht="79.5" hidden="false" customHeight="true" outlineLevel="0" collapsed="false">
      <c r="A78" s="78"/>
      <c r="B78" s="95"/>
      <c r="C78" s="95"/>
      <c r="D78" s="95"/>
      <c r="E78" s="95"/>
      <c r="F78" s="95"/>
      <c r="G78" s="87"/>
      <c r="H78" s="87"/>
      <c r="I78" s="99"/>
      <c r="J78" s="81"/>
      <c r="K78" s="79"/>
      <c r="L78" s="95"/>
      <c r="M78" s="99"/>
      <c r="N78" s="100"/>
      <c r="O78" s="84"/>
      <c r="P78" s="99"/>
      <c r="Q78" s="104"/>
      <c r="R78" s="97"/>
      <c r="S78" s="87"/>
      <c r="T78" s="79"/>
      <c r="U78" s="79"/>
      <c r="V78" s="79"/>
      <c r="W78" s="96"/>
      <c r="X78" s="97"/>
      <c r="Y78" s="91"/>
    </row>
    <row r="79" s="98" customFormat="true" ht="30" hidden="false" customHeight="true" outlineLevel="0" collapsed="false">
      <c r="A79" s="78"/>
      <c r="B79" s="95"/>
      <c r="C79" s="95"/>
      <c r="D79" s="95"/>
      <c r="E79" s="95"/>
      <c r="F79" s="95"/>
      <c r="G79" s="87"/>
      <c r="H79" s="87"/>
      <c r="I79" s="99"/>
      <c r="J79" s="92"/>
      <c r="K79" s="79"/>
      <c r="L79" s="95"/>
      <c r="M79" s="99"/>
      <c r="N79" s="83"/>
      <c r="O79" s="84"/>
      <c r="P79" s="102"/>
      <c r="Q79" s="103"/>
      <c r="R79" s="97"/>
      <c r="S79" s="87"/>
      <c r="T79" s="79"/>
      <c r="U79" s="79"/>
      <c r="V79" s="79"/>
      <c r="W79" s="96"/>
      <c r="X79" s="97"/>
      <c r="Y79" s="91"/>
    </row>
    <row r="80" s="98" customFormat="true" ht="30" hidden="false" customHeight="true" outlineLevel="0" collapsed="false">
      <c r="A80" s="78"/>
      <c r="B80" s="95"/>
      <c r="C80" s="95"/>
      <c r="D80" s="95"/>
      <c r="E80" s="95"/>
      <c r="F80" s="95"/>
      <c r="G80" s="87"/>
      <c r="H80" s="87"/>
      <c r="I80" s="99"/>
      <c r="J80" s="92"/>
      <c r="K80" s="79"/>
      <c r="L80" s="95"/>
      <c r="M80" s="99"/>
      <c r="N80" s="83"/>
      <c r="O80" s="84"/>
      <c r="P80" s="99"/>
      <c r="Q80" s="104"/>
      <c r="R80" s="97"/>
      <c r="S80" s="87"/>
      <c r="T80" s="79"/>
      <c r="U80" s="79"/>
      <c r="V80" s="79"/>
      <c r="W80" s="96"/>
      <c r="X80" s="97"/>
      <c r="Y80" s="91"/>
    </row>
    <row r="81" s="98" customFormat="true" ht="30" hidden="false" customHeight="true" outlineLevel="0" collapsed="false">
      <c r="A81" s="78"/>
      <c r="B81" s="95"/>
      <c r="C81" s="95"/>
      <c r="D81" s="95"/>
      <c r="E81" s="95"/>
      <c r="F81" s="95"/>
      <c r="G81" s="87"/>
      <c r="H81" s="87"/>
      <c r="I81" s="99"/>
      <c r="J81" s="92"/>
      <c r="K81" s="79"/>
      <c r="L81" s="95"/>
      <c r="M81" s="99"/>
      <c r="N81" s="83"/>
      <c r="O81" s="84"/>
      <c r="P81" s="102"/>
      <c r="Q81" s="103"/>
      <c r="R81" s="97"/>
      <c r="S81" s="87"/>
      <c r="T81" s="79"/>
      <c r="U81" s="79"/>
      <c r="V81" s="79"/>
      <c r="W81" s="96"/>
      <c r="X81" s="97"/>
      <c r="Y81" s="91"/>
    </row>
    <row r="82" s="98" customFormat="true" ht="30" hidden="false" customHeight="true" outlineLevel="0" collapsed="false">
      <c r="A82" s="78"/>
      <c r="B82" s="95"/>
      <c r="C82" s="95"/>
      <c r="D82" s="95"/>
      <c r="E82" s="95"/>
      <c r="F82" s="95"/>
      <c r="G82" s="87"/>
      <c r="H82" s="87"/>
      <c r="I82" s="99"/>
      <c r="J82" s="81"/>
      <c r="K82" s="79"/>
      <c r="L82" s="95"/>
      <c r="M82" s="99"/>
      <c r="N82" s="83"/>
      <c r="O82" s="84"/>
      <c r="P82" s="99"/>
      <c r="Q82" s="104"/>
      <c r="R82" s="97"/>
      <c r="S82" s="87"/>
      <c r="T82" s="79"/>
      <c r="U82" s="79"/>
      <c r="V82" s="79"/>
      <c r="W82" s="96"/>
      <c r="X82" s="97"/>
      <c r="Y82" s="91"/>
    </row>
    <row r="83" s="98" customFormat="true" ht="30" hidden="false" customHeight="true" outlineLevel="0" collapsed="false">
      <c r="A83" s="78"/>
      <c r="B83" s="95"/>
      <c r="C83" s="95"/>
      <c r="D83" s="95"/>
      <c r="E83" s="95"/>
      <c r="F83" s="95"/>
      <c r="G83" s="87"/>
      <c r="H83" s="87"/>
      <c r="I83" s="99"/>
      <c r="J83" s="81"/>
      <c r="K83" s="79"/>
      <c r="L83" s="95"/>
      <c r="M83" s="99"/>
      <c r="N83" s="83"/>
      <c r="O83" s="84"/>
      <c r="P83" s="102"/>
      <c r="Q83" s="103"/>
      <c r="R83" s="97"/>
      <c r="S83" s="87"/>
      <c r="T83" s="79"/>
      <c r="U83" s="79"/>
      <c r="V83" s="79"/>
      <c r="W83" s="96"/>
      <c r="X83" s="97"/>
      <c r="Y83" s="91"/>
    </row>
    <row r="84" s="98" customFormat="true" ht="30" hidden="false" customHeight="true" outlineLevel="0" collapsed="false">
      <c r="A84" s="78"/>
      <c r="B84" s="95"/>
      <c r="C84" s="95"/>
      <c r="D84" s="95"/>
      <c r="E84" s="95"/>
      <c r="F84" s="95"/>
      <c r="G84" s="87"/>
      <c r="H84" s="87"/>
      <c r="I84" s="99"/>
      <c r="J84" s="92"/>
      <c r="K84" s="79"/>
      <c r="L84" s="95"/>
      <c r="M84" s="99"/>
      <c r="N84" s="83"/>
      <c r="O84" s="84"/>
      <c r="P84" s="99"/>
      <c r="Q84" s="104"/>
      <c r="R84" s="97"/>
      <c r="S84" s="87"/>
      <c r="T84" s="79"/>
      <c r="U84" s="79"/>
      <c r="V84" s="79"/>
      <c r="W84" s="96"/>
      <c r="X84" s="97"/>
      <c r="Y84" s="91"/>
    </row>
    <row r="85" s="98" customFormat="true" ht="30" hidden="false" customHeight="true" outlineLevel="0" collapsed="false">
      <c r="A85" s="78"/>
      <c r="B85" s="95"/>
      <c r="C85" s="95"/>
      <c r="D85" s="95"/>
      <c r="E85" s="95"/>
      <c r="F85" s="95"/>
      <c r="G85" s="87"/>
      <c r="H85" s="87"/>
      <c r="I85" s="99"/>
      <c r="J85" s="92"/>
      <c r="K85" s="79"/>
      <c r="L85" s="95"/>
      <c r="M85" s="99"/>
      <c r="N85" s="83"/>
      <c r="O85" s="93"/>
      <c r="P85" s="102"/>
      <c r="Q85" s="103"/>
      <c r="R85" s="97"/>
      <c r="S85" s="87"/>
      <c r="T85" s="79"/>
      <c r="U85" s="79"/>
      <c r="V85" s="79"/>
      <c r="W85" s="96"/>
      <c r="X85" s="97"/>
      <c r="Y85" s="91"/>
    </row>
    <row r="86" s="98" customFormat="true" ht="30" hidden="false" customHeight="true" outlineLevel="0" collapsed="false">
      <c r="A86" s="78"/>
      <c r="B86" s="95"/>
      <c r="C86" s="95"/>
      <c r="D86" s="95"/>
      <c r="E86" s="95"/>
      <c r="F86" s="95"/>
      <c r="G86" s="87"/>
      <c r="H86" s="87"/>
      <c r="I86" s="99"/>
      <c r="J86" s="81"/>
      <c r="K86" s="79"/>
      <c r="L86" s="95"/>
      <c r="M86" s="99"/>
      <c r="N86" s="83"/>
      <c r="O86" s="84"/>
      <c r="P86" s="99"/>
      <c r="Q86" s="104"/>
      <c r="R86" s="97"/>
      <c r="S86" s="87"/>
      <c r="T86" s="79"/>
      <c r="U86" s="79"/>
      <c r="V86" s="79"/>
      <c r="W86" s="96"/>
      <c r="X86" s="97"/>
      <c r="Y86" s="91"/>
    </row>
    <row r="87" s="98" customFormat="true" ht="30" hidden="false" customHeight="true" outlineLevel="0" collapsed="false">
      <c r="A87" s="78"/>
      <c r="B87" s="95"/>
      <c r="C87" s="95"/>
      <c r="D87" s="95"/>
      <c r="E87" s="95"/>
      <c r="F87" s="95"/>
      <c r="G87" s="87"/>
      <c r="H87" s="87"/>
      <c r="I87" s="99"/>
      <c r="J87" s="92"/>
      <c r="K87" s="79"/>
      <c r="L87" s="95"/>
      <c r="M87" s="99"/>
      <c r="N87" s="83"/>
      <c r="O87" s="84"/>
      <c r="P87" s="102"/>
      <c r="Q87" s="103"/>
      <c r="R87" s="97"/>
      <c r="S87" s="87"/>
      <c r="T87" s="79"/>
      <c r="U87" s="79"/>
      <c r="V87" s="79"/>
      <c r="W87" s="96"/>
      <c r="X87" s="97"/>
      <c r="Y87" s="91"/>
    </row>
    <row r="88" s="98" customFormat="true" ht="30" hidden="false" customHeight="true" outlineLevel="0" collapsed="false">
      <c r="A88" s="78"/>
      <c r="B88" s="95"/>
      <c r="C88" s="95"/>
      <c r="D88" s="95"/>
      <c r="E88" s="95"/>
      <c r="F88" s="95"/>
      <c r="G88" s="87"/>
      <c r="H88" s="87"/>
      <c r="I88" s="99"/>
      <c r="J88" s="81"/>
      <c r="K88" s="79"/>
      <c r="L88" s="95"/>
      <c r="M88" s="99"/>
      <c r="N88" s="83"/>
      <c r="O88" s="84"/>
      <c r="P88" s="99"/>
      <c r="Q88" s="104"/>
      <c r="R88" s="97"/>
      <c r="S88" s="87"/>
      <c r="T88" s="79"/>
      <c r="U88" s="79"/>
      <c r="V88" s="79"/>
      <c r="W88" s="96"/>
      <c r="X88" s="97"/>
      <c r="Y88" s="91"/>
    </row>
    <row r="89" s="98" customFormat="true" ht="30" hidden="false" customHeight="true" outlineLevel="0" collapsed="false">
      <c r="A89" s="78"/>
      <c r="B89" s="95"/>
      <c r="C89" s="95"/>
      <c r="D89" s="95"/>
      <c r="E89" s="95"/>
      <c r="F89" s="95"/>
      <c r="G89" s="87"/>
      <c r="H89" s="87"/>
      <c r="I89" s="99"/>
      <c r="J89" s="92"/>
      <c r="K89" s="79"/>
      <c r="L89" s="95"/>
      <c r="M89" s="99"/>
      <c r="N89" s="83"/>
      <c r="O89" s="84"/>
      <c r="P89" s="102"/>
      <c r="Q89" s="103"/>
      <c r="R89" s="97"/>
      <c r="S89" s="87"/>
      <c r="T89" s="79"/>
      <c r="U89" s="79"/>
      <c r="V89" s="79"/>
      <c r="W89" s="96"/>
      <c r="X89" s="97"/>
      <c r="Y89" s="91"/>
    </row>
    <row r="90" s="98" customFormat="true" ht="30" hidden="false" customHeight="true" outlineLevel="0" collapsed="false">
      <c r="A90" s="78"/>
      <c r="B90" s="95"/>
      <c r="C90" s="95"/>
      <c r="D90" s="95"/>
      <c r="E90" s="95"/>
      <c r="F90" s="95"/>
      <c r="G90" s="87"/>
      <c r="H90" s="87"/>
      <c r="I90" s="99"/>
      <c r="J90" s="92"/>
      <c r="K90" s="79"/>
      <c r="L90" s="95"/>
      <c r="M90" s="99"/>
      <c r="N90" s="83"/>
      <c r="O90" s="84"/>
      <c r="P90" s="99"/>
      <c r="Q90" s="104"/>
      <c r="R90" s="97"/>
      <c r="S90" s="87"/>
      <c r="T90" s="79"/>
      <c r="U90" s="79"/>
      <c r="V90" s="79"/>
      <c r="W90" s="96"/>
      <c r="X90" s="97"/>
      <c r="Y90" s="91"/>
    </row>
    <row r="91" s="98" customFormat="true" ht="30" hidden="false" customHeight="true" outlineLevel="0" collapsed="false">
      <c r="A91" s="78"/>
      <c r="B91" s="95"/>
      <c r="C91" s="95"/>
      <c r="D91" s="95"/>
      <c r="E91" s="95"/>
      <c r="F91" s="95"/>
      <c r="G91" s="87"/>
      <c r="H91" s="87"/>
      <c r="I91" s="99"/>
      <c r="J91" s="92"/>
      <c r="K91" s="79"/>
      <c r="L91" s="95"/>
      <c r="M91" s="99"/>
      <c r="N91" s="83"/>
      <c r="O91" s="84"/>
      <c r="P91" s="102"/>
      <c r="Q91" s="103"/>
      <c r="R91" s="97"/>
      <c r="S91" s="87"/>
      <c r="T91" s="79"/>
      <c r="U91" s="79"/>
      <c r="V91" s="79"/>
      <c r="W91" s="96"/>
      <c r="X91" s="97"/>
      <c r="Y91" s="91"/>
    </row>
    <row r="92" s="98" customFormat="true" ht="30" hidden="false" customHeight="true" outlineLevel="0" collapsed="false">
      <c r="A92" s="78"/>
      <c r="B92" s="95"/>
      <c r="C92" s="95"/>
      <c r="D92" s="95"/>
      <c r="E92" s="95"/>
      <c r="F92" s="95"/>
      <c r="G92" s="87"/>
      <c r="H92" s="87"/>
      <c r="I92" s="99"/>
      <c r="J92" s="81"/>
      <c r="K92" s="79"/>
      <c r="L92" s="95"/>
      <c r="M92" s="99"/>
      <c r="N92" s="83"/>
      <c r="O92" s="84"/>
      <c r="P92" s="99"/>
      <c r="Q92" s="104"/>
      <c r="R92" s="97"/>
      <c r="S92" s="87"/>
      <c r="T92" s="79"/>
      <c r="U92" s="79"/>
      <c r="V92" s="79"/>
      <c r="W92" s="96"/>
      <c r="X92" s="97"/>
      <c r="Y92" s="91"/>
    </row>
    <row r="93" s="98" customFormat="true" ht="79.5" hidden="false" customHeight="true" outlineLevel="0" collapsed="false">
      <c r="A93" s="78"/>
      <c r="B93" s="95"/>
      <c r="C93" s="95"/>
      <c r="D93" s="95"/>
      <c r="E93" s="95"/>
      <c r="F93" s="95"/>
      <c r="G93" s="87"/>
      <c r="H93" s="87"/>
      <c r="I93" s="99"/>
      <c r="J93" s="81"/>
      <c r="K93" s="79"/>
      <c r="L93" s="95"/>
      <c r="M93" s="99"/>
      <c r="N93" s="100"/>
      <c r="O93" s="84"/>
      <c r="P93" s="102"/>
      <c r="Q93" s="103"/>
      <c r="R93" s="97"/>
      <c r="S93" s="87"/>
      <c r="T93" s="79"/>
      <c r="U93" s="79"/>
      <c r="V93" s="79"/>
      <c r="W93" s="96"/>
      <c r="X93" s="97"/>
      <c r="Y93" s="91"/>
    </row>
    <row r="94" s="98" customFormat="true" ht="30" hidden="false" customHeight="true" outlineLevel="0" collapsed="false">
      <c r="A94" s="78"/>
      <c r="B94" s="95"/>
      <c r="C94" s="95"/>
      <c r="D94" s="95"/>
      <c r="E94" s="95"/>
      <c r="F94" s="95"/>
      <c r="G94" s="87"/>
      <c r="H94" s="87"/>
      <c r="I94" s="99"/>
      <c r="J94" s="81"/>
      <c r="K94" s="79"/>
      <c r="L94" s="95"/>
      <c r="M94" s="99"/>
      <c r="N94" s="83"/>
      <c r="O94" s="84"/>
      <c r="P94" s="99"/>
      <c r="Q94" s="104"/>
      <c r="R94" s="97"/>
      <c r="S94" s="87"/>
      <c r="T94" s="79"/>
      <c r="U94" s="79"/>
      <c r="V94" s="79"/>
      <c r="W94" s="96"/>
      <c r="X94" s="97"/>
      <c r="Y94" s="91"/>
    </row>
    <row r="95" s="98" customFormat="true" ht="30" hidden="false" customHeight="true" outlineLevel="0" collapsed="false">
      <c r="A95" s="78"/>
      <c r="B95" s="95"/>
      <c r="C95" s="95"/>
      <c r="D95" s="95"/>
      <c r="E95" s="95"/>
      <c r="F95" s="95"/>
      <c r="G95" s="87"/>
      <c r="H95" s="87"/>
      <c r="I95" s="99"/>
      <c r="J95" s="81"/>
      <c r="K95" s="79"/>
      <c r="L95" s="95"/>
      <c r="M95" s="99"/>
      <c r="N95" s="83"/>
      <c r="O95" s="84"/>
      <c r="P95" s="102"/>
      <c r="Q95" s="103"/>
      <c r="R95" s="97"/>
      <c r="S95" s="87"/>
      <c r="T95" s="79"/>
      <c r="U95" s="79"/>
      <c r="V95" s="79"/>
      <c r="W95" s="96"/>
      <c r="X95" s="97"/>
      <c r="Y95" s="91"/>
    </row>
    <row r="96" s="98" customFormat="true" ht="79.5" hidden="false" customHeight="true" outlineLevel="0" collapsed="false">
      <c r="A96" s="78"/>
      <c r="B96" s="95"/>
      <c r="C96" s="95"/>
      <c r="D96" s="95"/>
      <c r="E96" s="95"/>
      <c r="F96" s="95"/>
      <c r="G96" s="87"/>
      <c r="H96" s="87"/>
      <c r="I96" s="99"/>
      <c r="J96" s="81"/>
      <c r="K96" s="79"/>
      <c r="L96" s="95"/>
      <c r="M96" s="99"/>
      <c r="N96" s="100"/>
      <c r="O96" s="84"/>
      <c r="P96" s="99"/>
      <c r="Q96" s="104"/>
      <c r="R96" s="97"/>
      <c r="S96" s="87"/>
      <c r="T96" s="79"/>
      <c r="U96" s="79"/>
      <c r="V96" s="79"/>
      <c r="W96" s="96"/>
      <c r="X96" s="97"/>
      <c r="Y96" s="91"/>
    </row>
    <row r="97" s="98" customFormat="true" ht="79.5" hidden="false" customHeight="true" outlineLevel="0" collapsed="false">
      <c r="A97" s="78"/>
      <c r="B97" s="95"/>
      <c r="C97" s="95"/>
      <c r="D97" s="95"/>
      <c r="E97" s="95"/>
      <c r="F97" s="95"/>
      <c r="G97" s="87"/>
      <c r="H97" s="87"/>
      <c r="I97" s="99"/>
      <c r="J97" s="81"/>
      <c r="K97" s="79"/>
      <c r="L97" s="95"/>
      <c r="M97" s="99"/>
      <c r="N97" s="100"/>
      <c r="O97" s="84"/>
      <c r="P97" s="102"/>
      <c r="Q97" s="103"/>
      <c r="R97" s="97"/>
      <c r="S97" s="87"/>
      <c r="T97" s="79"/>
      <c r="U97" s="79"/>
      <c r="V97" s="79"/>
      <c r="W97" s="96"/>
      <c r="X97" s="97"/>
      <c r="Y97" s="91"/>
    </row>
    <row r="98" s="98" customFormat="true" ht="79.5" hidden="false" customHeight="true" outlineLevel="0" collapsed="false">
      <c r="A98" s="78"/>
      <c r="B98" s="95"/>
      <c r="C98" s="95"/>
      <c r="D98" s="95"/>
      <c r="E98" s="95"/>
      <c r="F98" s="95"/>
      <c r="G98" s="87"/>
      <c r="H98" s="87"/>
      <c r="I98" s="99"/>
      <c r="J98" s="81"/>
      <c r="K98" s="79"/>
      <c r="L98" s="95"/>
      <c r="M98" s="99"/>
      <c r="N98" s="100"/>
      <c r="O98" s="84"/>
      <c r="P98" s="99"/>
      <c r="Q98" s="104"/>
      <c r="R98" s="97"/>
      <c r="S98" s="87"/>
      <c r="T98" s="79"/>
      <c r="U98" s="79"/>
      <c r="V98" s="79"/>
      <c r="W98" s="96"/>
      <c r="X98" s="97"/>
      <c r="Y98" s="91"/>
    </row>
    <row r="99" s="98" customFormat="true" ht="79.5" hidden="false" customHeight="true" outlineLevel="0" collapsed="false">
      <c r="A99" s="78"/>
      <c r="B99" s="95"/>
      <c r="C99" s="95"/>
      <c r="D99" s="95"/>
      <c r="E99" s="95"/>
      <c r="F99" s="95"/>
      <c r="G99" s="87"/>
      <c r="H99" s="87"/>
      <c r="I99" s="99"/>
      <c r="J99" s="81"/>
      <c r="K99" s="79"/>
      <c r="L99" s="95"/>
      <c r="M99" s="99"/>
      <c r="N99" s="100"/>
      <c r="O99" s="84"/>
      <c r="P99" s="102"/>
      <c r="Q99" s="103"/>
      <c r="R99" s="97"/>
      <c r="S99" s="87"/>
      <c r="T99" s="79"/>
      <c r="U99" s="79"/>
      <c r="V99" s="79"/>
      <c r="W99" s="96"/>
      <c r="X99" s="97"/>
      <c r="Y99" s="91"/>
    </row>
    <row r="100" s="98" customFormat="true" ht="30" hidden="false" customHeight="true" outlineLevel="0" collapsed="false">
      <c r="A100" s="78"/>
      <c r="B100" s="95"/>
      <c r="C100" s="95"/>
      <c r="D100" s="95"/>
      <c r="E100" s="95"/>
      <c r="F100" s="95"/>
      <c r="G100" s="87"/>
      <c r="H100" s="87"/>
      <c r="I100" s="99"/>
      <c r="J100" s="81"/>
      <c r="K100" s="79"/>
      <c r="L100" s="95"/>
      <c r="M100" s="99"/>
      <c r="N100" s="83"/>
      <c r="O100" s="84"/>
      <c r="P100" s="99"/>
      <c r="Q100" s="104"/>
      <c r="R100" s="97"/>
      <c r="S100" s="87"/>
      <c r="T100" s="79"/>
      <c r="U100" s="79"/>
      <c r="V100" s="79"/>
      <c r="W100" s="96"/>
      <c r="X100" s="97"/>
      <c r="Y100" s="91"/>
    </row>
    <row r="101" s="98" customFormat="true" ht="79.5" hidden="false" customHeight="true" outlineLevel="0" collapsed="false">
      <c r="A101" s="78"/>
      <c r="B101" s="95"/>
      <c r="C101" s="95"/>
      <c r="D101" s="95"/>
      <c r="E101" s="95"/>
      <c r="F101" s="95"/>
      <c r="G101" s="87"/>
      <c r="H101" s="87"/>
      <c r="I101" s="99"/>
      <c r="J101" s="81"/>
      <c r="K101" s="79"/>
      <c r="L101" s="95"/>
      <c r="M101" s="99"/>
      <c r="N101" s="100"/>
      <c r="O101" s="84"/>
      <c r="P101" s="102"/>
      <c r="Q101" s="103"/>
      <c r="R101" s="97"/>
      <c r="S101" s="87"/>
      <c r="T101" s="79"/>
      <c r="U101" s="79"/>
      <c r="V101" s="79"/>
      <c r="W101" s="96"/>
      <c r="X101" s="97"/>
      <c r="Y101" s="91"/>
    </row>
    <row r="102" s="98" customFormat="true" ht="79.5" hidden="false" customHeight="true" outlineLevel="0" collapsed="false">
      <c r="A102" s="78"/>
      <c r="B102" s="95"/>
      <c r="C102" s="95"/>
      <c r="D102" s="95"/>
      <c r="E102" s="95"/>
      <c r="F102" s="95"/>
      <c r="G102" s="87"/>
      <c r="H102" s="87"/>
      <c r="I102" s="99"/>
      <c r="J102" s="81"/>
      <c r="K102" s="79"/>
      <c r="L102" s="95"/>
      <c r="M102" s="99"/>
      <c r="N102" s="100"/>
      <c r="O102" s="84"/>
      <c r="P102" s="99"/>
      <c r="Q102" s="104"/>
      <c r="R102" s="97"/>
      <c r="S102" s="87"/>
      <c r="T102" s="79"/>
      <c r="U102" s="79"/>
      <c r="V102" s="79"/>
      <c r="W102" s="96"/>
      <c r="X102" s="97"/>
      <c r="Y102" s="91"/>
    </row>
    <row r="103" s="98" customFormat="true" ht="30" hidden="false" customHeight="true" outlineLevel="0" collapsed="false">
      <c r="A103" s="78"/>
      <c r="B103" s="95"/>
      <c r="C103" s="95"/>
      <c r="D103" s="95"/>
      <c r="E103" s="95"/>
      <c r="F103" s="95"/>
      <c r="G103" s="87"/>
      <c r="H103" s="87"/>
      <c r="I103" s="99"/>
      <c r="J103" s="81"/>
      <c r="K103" s="79"/>
      <c r="L103" s="95"/>
      <c r="M103" s="99"/>
      <c r="N103" s="83"/>
      <c r="O103" s="93"/>
      <c r="P103" s="102"/>
      <c r="Q103" s="103"/>
      <c r="R103" s="97"/>
      <c r="S103" s="87"/>
      <c r="T103" s="79"/>
      <c r="U103" s="79"/>
      <c r="V103" s="79"/>
      <c r="W103" s="96"/>
      <c r="X103" s="97"/>
      <c r="Y103" s="91"/>
    </row>
    <row r="104" s="16" customFormat="true" ht="30" hidden="false" customHeight="true" outlineLevel="0" collapsed="false">
      <c r="A104" s="105"/>
      <c r="B104" s="106"/>
      <c r="C104" s="106"/>
      <c r="D104" s="106"/>
      <c r="E104" s="106"/>
      <c r="F104" s="106"/>
      <c r="G104" s="107"/>
      <c r="H104" s="107"/>
      <c r="I104" s="108"/>
      <c r="J104" s="105"/>
      <c r="K104" s="109"/>
      <c r="L104" s="106"/>
      <c r="M104" s="108"/>
      <c r="N104" s="110"/>
      <c r="O104" s="111"/>
      <c r="P104" s="108"/>
      <c r="Q104" s="112"/>
      <c r="R104" s="113"/>
      <c r="S104" s="107"/>
      <c r="T104" s="109"/>
      <c r="U104" s="109"/>
      <c r="V104" s="109"/>
      <c r="W104" s="114"/>
      <c r="X104" s="113"/>
      <c r="Y104" s="115"/>
      <c r="Z104" s="61"/>
    </row>
    <row r="105" s="16" customFormat="true" ht="30" hidden="false" customHeight="true" outlineLevel="0" collapsed="false">
      <c r="A105" s="105"/>
      <c r="B105" s="106"/>
      <c r="C105" s="106"/>
      <c r="D105" s="106"/>
      <c r="E105" s="106"/>
      <c r="F105" s="106"/>
      <c r="G105" s="107"/>
      <c r="H105" s="107"/>
      <c r="I105" s="108"/>
      <c r="J105" s="105"/>
      <c r="K105" s="109"/>
      <c r="L105" s="106"/>
      <c r="M105" s="108"/>
      <c r="N105" s="110"/>
      <c r="O105" s="111"/>
      <c r="P105" s="116"/>
      <c r="Q105" s="117"/>
      <c r="R105" s="113"/>
      <c r="S105" s="107"/>
      <c r="T105" s="109"/>
      <c r="U105" s="109"/>
      <c r="V105" s="109"/>
      <c r="W105" s="114"/>
      <c r="X105" s="113"/>
      <c r="Y105" s="115"/>
      <c r="Z105" s="61"/>
    </row>
    <row r="106" s="16" customFormat="true" ht="30" hidden="false" customHeight="true" outlineLevel="0" collapsed="false">
      <c r="A106" s="105"/>
      <c r="B106" s="106"/>
      <c r="C106" s="106"/>
      <c r="D106" s="106"/>
      <c r="E106" s="106"/>
      <c r="F106" s="106"/>
      <c r="G106" s="107"/>
      <c r="H106" s="107"/>
      <c r="I106" s="108"/>
      <c r="J106" s="105"/>
      <c r="K106" s="109"/>
      <c r="L106" s="106"/>
      <c r="M106" s="108"/>
      <c r="N106" s="110"/>
      <c r="O106" s="111"/>
      <c r="P106" s="108"/>
      <c r="Q106" s="112"/>
      <c r="R106" s="113"/>
      <c r="S106" s="107"/>
      <c r="T106" s="109"/>
      <c r="U106" s="109"/>
      <c r="V106" s="109"/>
      <c r="W106" s="114"/>
      <c r="X106" s="113"/>
      <c r="Y106" s="115"/>
      <c r="Z106" s="61"/>
    </row>
    <row r="107" s="16" customFormat="true" ht="30" hidden="false" customHeight="true" outlineLevel="0" collapsed="false">
      <c r="A107" s="105"/>
      <c r="B107" s="106"/>
      <c r="C107" s="106"/>
      <c r="D107" s="106"/>
      <c r="E107" s="106"/>
      <c r="F107" s="106"/>
      <c r="G107" s="107"/>
      <c r="H107" s="107"/>
      <c r="I107" s="108"/>
      <c r="J107" s="105"/>
      <c r="K107" s="109"/>
      <c r="L107" s="106"/>
      <c r="M107" s="108"/>
      <c r="N107" s="110"/>
      <c r="O107" s="111"/>
      <c r="P107" s="116"/>
      <c r="Q107" s="117"/>
      <c r="R107" s="113"/>
      <c r="S107" s="107"/>
      <c r="T107" s="109"/>
      <c r="U107" s="109"/>
      <c r="V107" s="109"/>
      <c r="W107" s="114"/>
      <c r="X107" s="113"/>
      <c r="Y107" s="115"/>
      <c r="Z107" s="61"/>
    </row>
    <row r="108" s="16" customFormat="true" ht="30" hidden="false" customHeight="true" outlineLevel="0" collapsed="false">
      <c r="A108" s="105"/>
      <c r="B108" s="106"/>
      <c r="C108" s="106"/>
      <c r="D108" s="106"/>
      <c r="E108" s="106"/>
      <c r="F108" s="106"/>
      <c r="G108" s="107"/>
      <c r="H108" s="107"/>
      <c r="I108" s="108"/>
      <c r="J108" s="105"/>
      <c r="K108" s="109"/>
      <c r="L108" s="106"/>
      <c r="M108" s="108"/>
      <c r="N108" s="110"/>
      <c r="O108" s="111"/>
      <c r="P108" s="108"/>
      <c r="Q108" s="112"/>
      <c r="R108" s="113"/>
      <c r="S108" s="107"/>
      <c r="T108" s="109"/>
      <c r="U108" s="109"/>
      <c r="V108" s="109"/>
      <c r="W108" s="114"/>
      <c r="X108" s="113"/>
      <c r="Y108" s="115"/>
      <c r="Z108" s="61"/>
    </row>
    <row r="109" s="16" customFormat="true" ht="30" hidden="false" customHeight="true" outlineLevel="0" collapsed="false">
      <c r="A109" s="105"/>
      <c r="B109" s="106"/>
      <c r="C109" s="106"/>
      <c r="D109" s="106"/>
      <c r="E109" s="106"/>
      <c r="F109" s="106"/>
      <c r="G109" s="107"/>
      <c r="H109" s="107"/>
      <c r="I109" s="108"/>
      <c r="J109" s="105"/>
      <c r="K109" s="109"/>
      <c r="L109" s="106"/>
      <c r="M109" s="108"/>
      <c r="N109" s="110"/>
      <c r="O109" s="111"/>
      <c r="P109" s="116"/>
      <c r="Q109" s="117"/>
      <c r="R109" s="113"/>
      <c r="S109" s="107"/>
      <c r="T109" s="109"/>
      <c r="U109" s="109"/>
      <c r="V109" s="109"/>
      <c r="W109" s="114"/>
      <c r="X109" s="113"/>
      <c r="Y109" s="115"/>
      <c r="Z109" s="61"/>
    </row>
    <row r="110" s="16" customFormat="true" ht="30" hidden="false" customHeight="true" outlineLevel="0" collapsed="false">
      <c r="A110" s="105"/>
      <c r="B110" s="106"/>
      <c r="C110" s="106"/>
      <c r="D110" s="106"/>
      <c r="E110" s="106"/>
      <c r="F110" s="106"/>
      <c r="G110" s="107"/>
      <c r="H110" s="107"/>
      <c r="I110" s="108"/>
      <c r="J110" s="105"/>
      <c r="K110" s="109"/>
      <c r="L110" s="106"/>
      <c r="M110" s="108"/>
      <c r="N110" s="110"/>
      <c r="O110" s="111"/>
      <c r="P110" s="108"/>
      <c r="Q110" s="112"/>
      <c r="R110" s="113"/>
      <c r="S110" s="107"/>
      <c r="T110" s="109"/>
      <c r="U110" s="109"/>
      <c r="V110" s="109"/>
      <c r="W110" s="114"/>
      <c r="X110" s="113"/>
      <c r="Y110" s="115"/>
      <c r="Z110" s="61"/>
    </row>
    <row r="111" s="16" customFormat="true" ht="30" hidden="false" customHeight="true" outlineLevel="0" collapsed="false">
      <c r="A111" s="105"/>
      <c r="B111" s="106"/>
      <c r="C111" s="106"/>
      <c r="D111" s="106"/>
      <c r="E111" s="106"/>
      <c r="F111" s="106"/>
      <c r="G111" s="107"/>
      <c r="H111" s="107"/>
      <c r="I111" s="108"/>
      <c r="J111" s="105"/>
      <c r="K111" s="109"/>
      <c r="L111" s="106"/>
      <c r="M111" s="108"/>
      <c r="N111" s="110"/>
      <c r="O111" s="111"/>
      <c r="P111" s="116"/>
      <c r="Q111" s="117"/>
      <c r="R111" s="113"/>
      <c r="S111" s="107"/>
      <c r="T111" s="109"/>
      <c r="U111" s="109"/>
      <c r="V111" s="109"/>
      <c r="W111" s="114"/>
      <c r="X111" s="113"/>
      <c r="Y111" s="115"/>
      <c r="Z111" s="61"/>
    </row>
    <row r="112" s="16" customFormat="true" ht="30" hidden="false" customHeight="true" outlineLevel="0" collapsed="false">
      <c r="A112" s="105"/>
      <c r="B112" s="106"/>
      <c r="C112" s="106"/>
      <c r="D112" s="106"/>
      <c r="E112" s="106"/>
      <c r="F112" s="106"/>
      <c r="G112" s="107"/>
      <c r="H112" s="107"/>
      <c r="I112" s="108"/>
      <c r="J112" s="105"/>
      <c r="K112" s="109"/>
      <c r="L112" s="106"/>
      <c r="M112" s="108"/>
      <c r="N112" s="110"/>
      <c r="O112" s="111"/>
      <c r="P112" s="108"/>
      <c r="Q112" s="112"/>
      <c r="R112" s="113"/>
      <c r="S112" s="107"/>
      <c r="T112" s="109"/>
      <c r="U112" s="109"/>
      <c r="V112" s="109"/>
      <c r="W112" s="114"/>
      <c r="X112" s="113"/>
      <c r="Y112" s="115"/>
      <c r="Z112" s="61"/>
    </row>
    <row r="113" s="16" customFormat="true" ht="30" hidden="false" customHeight="true" outlineLevel="0" collapsed="false">
      <c r="A113" s="105"/>
      <c r="B113" s="106"/>
      <c r="C113" s="106"/>
      <c r="D113" s="106"/>
      <c r="E113" s="106"/>
      <c r="F113" s="106"/>
      <c r="G113" s="107"/>
      <c r="H113" s="107"/>
      <c r="I113" s="108"/>
      <c r="J113" s="105"/>
      <c r="K113" s="109"/>
      <c r="L113" s="106"/>
      <c r="M113" s="108"/>
      <c r="N113" s="110"/>
      <c r="O113" s="111"/>
      <c r="P113" s="116"/>
      <c r="Q113" s="117"/>
      <c r="R113" s="113"/>
      <c r="S113" s="107"/>
      <c r="T113" s="109"/>
      <c r="U113" s="109"/>
      <c r="V113" s="109"/>
      <c r="W113" s="114"/>
      <c r="X113" s="113"/>
      <c r="Y113" s="115"/>
      <c r="Z113" s="61"/>
    </row>
    <row r="114" s="16" customFormat="true" ht="30" hidden="false" customHeight="true" outlineLevel="0" collapsed="false">
      <c r="A114" s="105"/>
      <c r="B114" s="106"/>
      <c r="C114" s="106"/>
      <c r="D114" s="106"/>
      <c r="E114" s="106"/>
      <c r="F114" s="106"/>
      <c r="G114" s="107"/>
      <c r="H114" s="107"/>
      <c r="I114" s="108"/>
      <c r="J114" s="105"/>
      <c r="K114" s="109"/>
      <c r="L114" s="106"/>
      <c r="M114" s="108"/>
      <c r="N114" s="110"/>
      <c r="O114" s="111"/>
      <c r="P114" s="108"/>
      <c r="Q114" s="112"/>
      <c r="R114" s="113"/>
      <c r="S114" s="107"/>
      <c r="T114" s="109"/>
      <c r="U114" s="109"/>
      <c r="V114" s="109"/>
      <c r="W114" s="114"/>
      <c r="X114" s="113"/>
      <c r="Y114" s="115"/>
      <c r="Z114" s="61"/>
    </row>
    <row r="115" s="16" customFormat="true" ht="30" hidden="false" customHeight="true" outlineLevel="0" collapsed="false">
      <c r="A115" s="105"/>
      <c r="B115" s="106"/>
      <c r="C115" s="106"/>
      <c r="D115" s="106"/>
      <c r="E115" s="106"/>
      <c r="F115" s="106"/>
      <c r="G115" s="107"/>
      <c r="H115" s="107"/>
      <c r="I115" s="108"/>
      <c r="J115" s="105"/>
      <c r="K115" s="109"/>
      <c r="L115" s="106"/>
      <c r="M115" s="108"/>
      <c r="N115" s="110"/>
      <c r="O115" s="111"/>
      <c r="P115" s="116"/>
      <c r="Q115" s="117"/>
      <c r="R115" s="113"/>
      <c r="S115" s="107"/>
      <c r="T115" s="109"/>
      <c r="U115" s="109"/>
      <c r="V115" s="109"/>
      <c r="W115" s="114"/>
      <c r="X115" s="113"/>
      <c r="Y115" s="115"/>
      <c r="Z115" s="61"/>
    </row>
    <row r="116" s="16" customFormat="true" ht="30" hidden="false" customHeight="true" outlineLevel="0" collapsed="false">
      <c r="A116" s="105"/>
      <c r="B116" s="106"/>
      <c r="C116" s="106"/>
      <c r="D116" s="106"/>
      <c r="E116" s="106"/>
      <c r="F116" s="106"/>
      <c r="G116" s="107"/>
      <c r="H116" s="107"/>
      <c r="I116" s="108"/>
      <c r="J116" s="105"/>
      <c r="K116" s="109"/>
      <c r="L116" s="106"/>
      <c r="M116" s="108"/>
      <c r="N116" s="110"/>
      <c r="O116" s="111"/>
      <c r="P116" s="108"/>
      <c r="Q116" s="112"/>
      <c r="R116" s="113"/>
      <c r="S116" s="107"/>
      <c r="T116" s="109"/>
      <c r="U116" s="109"/>
      <c r="V116" s="109"/>
      <c r="W116" s="114"/>
      <c r="X116" s="113"/>
      <c r="Y116" s="115"/>
      <c r="Z116" s="61"/>
    </row>
    <row r="117" s="16" customFormat="true" ht="30" hidden="false" customHeight="true" outlineLevel="0" collapsed="false">
      <c r="A117" s="105"/>
      <c r="B117" s="106"/>
      <c r="C117" s="106"/>
      <c r="D117" s="106"/>
      <c r="E117" s="106"/>
      <c r="F117" s="106"/>
      <c r="G117" s="107"/>
      <c r="H117" s="107"/>
      <c r="I117" s="108"/>
      <c r="J117" s="105"/>
      <c r="K117" s="109"/>
      <c r="L117" s="106"/>
      <c r="M117" s="108"/>
      <c r="N117" s="110"/>
      <c r="O117" s="111"/>
      <c r="P117" s="116"/>
      <c r="Q117" s="117"/>
      <c r="R117" s="113"/>
      <c r="S117" s="107"/>
      <c r="T117" s="109"/>
      <c r="U117" s="109"/>
      <c r="V117" s="109"/>
      <c r="W117" s="114"/>
      <c r="X117" s="113"/>
      <c r="Y117" s="115"/>
      <c r="Z117" s="61"/>
    </row>
    <row r="118" s="16" customFormat="true" ht="30" hidden="false" customHeight="true" outlineLevel="0" collapsed="false">
      <c r="A118" s="118"/>
      <c r="B118" s="119"/>
      <c r="C118" s="119"/>
      <c r="D118" s="120"/>
      <c r="E118" s="121"/>
      <c r="F118" s="119"/>
      <c r="G118" s="119"/>
      <c r="H118" s="119"/>
      <c r="I118" s="121"/>
      <c r="J118" s="119"/>
      <c r="K118" s="119"/>
      <c r="L118" s="119"/>
      <c r="M118" s="122"/>
      <c r="N118" s="119"/>
      <c r="O118" s="119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61"/>
    </row>
    <row r="119" customFormat="false" ht="30" hidden="false" customHeight="true" outlineLevel="0" collapsed="false">
      <c r="A119" s="123"/>
      <c r="B119" s="119"/>
      <c r="C119" s="119"/>
      <c r="D119" s="120"/>
      <c r="E119" s="121"/>
      <c r="F119" s="119"/>
      <c r="G119" s="119"/>
      <c r="H119" s="119"/>
      <c r="I119" s="121"/>
      <c r="J119" s="119"/>
      <c r="K119" s="119"/>
      <c r="L119" s="119"/>
      <c r="M119" s="122"/>
      <c r="N119" s="119"/>
      <c r="O119" s="119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61"/>
    </row>
    <row r="120" customFormat="false" ht="30" hidden="false" customHeight="true" outlineLevel="0" collapsed="false">
      <c r="A120" s="123"/>
      <c r="B120" s="119"/>
      <c r="C120" s="119"/>
      <c r="D120" s="120"/>
      <c r="E120" s="121"/>
      <c r="F120" s="119"/>
      <c r="G120" s="119"/>
      <c r="H120" s="119"/>
      <c r="I120" s="121"/>
      <c r="J120" s="119"/>
      <c r="K120" s="119"/>
      <c r="L120" s="119"/>
      <c r="M120" s="122"/>
      <c r="N120" s="119"/>
      <c r="O120" s="119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61"/>
    </row>
    <row r="121" customFormat="false" ht="30" hidden="false" customHeight="true" outlineLevel="0" collapsed="false">
      <c r="A121" s="123"/>
      <c r="B121" s="119"/>
      <c r="C121" s="119"/>
      <c r="D121" s="120"/>
      <c r="E121" s="121"/>
      <c r="F121" s="119"/>
      <c r="G121" s="119"/>
      <c r="H121" s="119"/>
      <c r="I121" s="121"/>
      <c r="J121" s="119"/>
      <c r="K121" s="119"/>
      <c r="L121" s="119"/>
      <c r="M121" s="122"/>
      <c r="N121" s="119"/>
      <c r="O121" s="119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61"/>
    </row>
    <row r="122" customFormat="false" ht="30" hidden="false" customHeight="true" outlineLevel="0" collapsed="false">
      <c r="A122" s="123"/>
      <c r="B122" s="119"/>
      <c r="C122" s="119"/>
      <c r="D122" s="120"/>
      <c r="E122" s="121"/>
      <c r="F122" s="119"/>
      <c r="G122" s="119"/>
      <c r="H122" s="119"/>
      <c r="I122" s="121"/>
      <c r="J122" s="119"/>
      <c r="K122" s="119"/>
      <c r="L122" s="119"/>
      <c r="M122" s="122"/>
      <c r="N122" s="119"/>
      <c r="O122" s="119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61"/>
    </row>
    <row r="123" customFormat="false" ht="30" hidden="false" customHeight="true" outlineLevel="0" collapsed="false">
      <c r="A123" s="123"/>
      <c r="B123" s="119"/>
      <c r="C123" s="119"/>
      <c r="D123" s="120"/>
      <c r="E123" s="121"/>
      <c r="F123" s="119"/>
      <c r="G123" s="119"/>
      <c r="H123" s="119"/>
      <c r="I123" s="121"/>
      <c r="J123" s="119"/>
      <c r="K123" s="119"/>
      <c r="L123" s="119"/>
      <c r="M123" s="122"/>
      <c r="N123" s="119"/>
      <c r="O123" s="119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61"/>
    </row>
    <row r="124" customFormat="false" ht="30" hidden="false" customHeight="true" outlineLevel="0" collapsed="false">
      <c r="A124" s="123"/>
      <c r="B124" s="119"/>
      <c r="C124" s="119"/>
      <c r="D124" s="120"/>
      <c r="E124" s="121"/>
      <c r="F124" s="119"/>
      <c r="G124" s="119"/>
      <c r="H124" s="119"/>
      <c r="I124" s="121"/>
      <c r="J124" s="119"/>
      <c r="K124" s="119"/>
      <c r="L124" s="119"/>
      <c r="M124" s="122"/>
      <c r="N124" s="119"/>
      <c r="O124" s="119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61"/>
    </row>
    <row r="125" customFormat="false" ht="30" hidden="false" customHeight="true" outlineLevel="0" collapsed="false">
      <c r="A125" s="123"/>
      <c r="B125" s="119"/>
      <c r="C125" s="119"/>
      <c r="D125" s="120"/>
      <c r="E125" s="121"/>
      <c r="F125" s="119"/>
      <c r="G125" s="119"/>
      <c r="H125" s="119"/>
      <c r="I125" s="121"/>
      <c r="J125" s="119"/>
      <c r="K125" s="119"/>
      <c r="L125" s="119"/>
      <c r="M125" s="122"/>
      <c r="N125" s="119"/>
      <c r="O125" s="119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61"/>
    </row>
    <row r="126" customFormat="false" ht="30" hidden="false" customHeight="true" outlineLevel="0" collapsed="false">
      <c r="A126" s="123"/>
      <c r="B126" s="119"/>
      <c r="C126" s="119"/>
      <c r="D126" s="120"/>
      <c r="E126" s="121"/>
      <c r="F126" s="119"/>
      <c r="G126" s="119"/>
      <c r="H126" s="119"/>
      <c r="I126" s="121"/>
      <c r="J126" s="119"/>
      <c r="K126" s="119"/>
      <c r="L126" s="119"/>
      <c r="M126" s="122"/>
      <c r="N126" s="119"/>
      <c r="O126" s="119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61"/>
    </row>
    <row r="127" customFormat="false" ht="30" hidden="false" customHeight="true" outlineLevel="0" collapsed="false">
      <c r="A127" s="123"/>
      <c r="B127" s="119"/>
      <c r="C127" s="119"/>
      <c r="D127" s="120"/>
      <c r="E127" s="121"/>
      <c r="F127" s="119"/>
      <c r="G127" s="119"/>
      <c r="H127" s="119"/>
      <c r="I127" s="121"/>
      <c r="J127" s="119"/>
      <c r="K127" s="119"/>
      <c r="L127" s="119"/>
      <c r="M127" s="122"/>
      <c r="N127" s="119"/>
      <c r="O127" s="119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61"/>
    </row>
    <row r="128" customFormat="false" ht="30" hidden="false" customHeight="true" outlineLevel="0" collapsed="false">
      <c r="A128" s="123"/>
      <c r="B128" s="119"/>
      <c r="C128" s="119"/>
      <c r="D128" s="120"/>
      <c r="E128" s="121"/>
      <c r="F128" s="119"/>
      <c r="G128" s="119"/>
      <c r="H128" s="119"/>
      <c r="I128" s="121"/>
      <c r="J128" s="119"/>
      <c r="K128" s="119"/>
      <c r="L128" s="119"/>
      <c r="M128" s="122"/>
      <c r="N128" s="119"/>
      <c r="O128" s="119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61"/>
    </row>
    <row r="129" customFormat="false" ht="30" hidden="false" customHeight="true" outlineLevel="0" collapsed="false">
      <c r="A129" s="123"/>
      <c r="B129" s="119"/>
      <c r="C129" s="119"/>
      <c r="D129" s="120"/>
      <c r="E129" s="121"/>
      <c r="F129" s="119"/>
      <c r="G129" s="119"/>
      <c r="H129" s="119"/>
      <c r="I129" s="121"/>
      <c r="J129" s="119"/>
      <c r="K129" s="119"/>
      <c r="L129" s="119"/>
      <c r="M129" s="122"/>
      <c r="N129" s="119"/>
      <c r="O129" s="119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61"/>
    </row>
    <row r="130" customFormat="false" ht="30" hidden="false" customHeight="true" outlineLevel="0" collapsed="false">
      <c r="A130" s="123"/>
      <c r="B130" s="119"/>
      <c r="C130" s="119"/>
      <c r="D130" s="120"/>
      <c r="E130" s="121"/>
      <c r="F130" s="119"/>
      <c r="G130" s="119"/>
      <c r="H130" s="119"/>
      <c r="I130" s="121"/>
      <c r="J130" s="119"/>
      <c r="K130" s="119"/>
      <c r="L130" s="119"/>
      <c r="M130" s="122"/>
      <c r="N130" s="119"/>
      <c r="O130" s="119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61"/>
    </row>
    <row r="131" customFormat="false" ht="30" hidden="false" customHeight="true" outlineLevel="0" collapsed="false">
      <c r="A131" s="123"/>
      <c r="B131" s="119"/>
      <c r="C131" s="119"/>
      <c r="D131" s="120"/>
      <c r="E131" s="121"/>
      <c r="F131" s="119"/>
      <c r="G131" s="119"/>
      <c r="H131" s="119"/>
      <c r="I131" s="121"/>
      <c r="J131" s="119"/>
      <c r="K131" s="119"/>
      <c r="L131" s="119"/>
      <c r="M131" s="122"/>
      <c r="N131" s="119"/>
      <c r="O131" s="119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61"/>
    </row>
    <row r="132" customFormat="false" ht="30" hidden="false" customHeight="true" outlineLevel="0" collapsed="false">
      <c r="A132" s="123"/>
      <c r="B132" s="119"/>
      <c r="C132" s="119"/>
      <c r="D132" s="120"/>
      <c r="E132" s="121"/>
      <c r="F132" s="119"/>
      <c r="G132" s="119"/>
      <c r="H132" s="119"/>
      <c r="I132" s="121"/>
      <c r="J132" s="119"/>
      <c r="K132" s="119"/>
      <c r="L132" s="119"/>
      <c r="M132" s="122"/>
      <c r="N132" s="119"/>
      <c r="O132" s="119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61"/>
    </row>
    <row r="133" customFormat="false" ht="15" hidden="false" customHeight="false" outlineLevel="0" collapsed="false">
      <c r="A133" s="123"/>
      <c r="B133" s="119"/>
      <c r="C133" s="119"/>
      <c r="D133" s="120"/>
      <c r="E133" s="121"/>
      <c r="F133" s="119"/>
      <c r="G133" s="119"/>
      <c r="H133" s="119"/>
      <c r="I133" s="121"/>
      <c r="J133" s="119"/>
      <c r="K133" s="119"/>
      <c r="L133" s="119"/>
      <c r="M133" s="122"/>
      <c r="N133" s="119"/>
      <c r="O133" s="119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61"/>
    </row>
    <row r="134" customFormat="false" ht="15" hidden="false" customHeight="false" outlineLevel="0" collapsed="false">
      <c r="A134" s="123"/>
      <c r="B134" s="119"/>
      <c r="C134" s="119"/>
      <c r="D134" s="120"/>
      <c r="E134" s="121"/>
      <c r="F134" s="119"/>
      <c r="G134" s="119"/>
      <c r="H134" s="119"/>
      <c r="I134" s="121"/>
      <c r="J134" s="119"/>
      <c r="K134" s="119"/>
      <c r="L134" s="119"/>
      <c r="M134" s="122"/>
      <c r="N134" s="119"/>
      <c r="O134" s="119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61"/>
    </row>
    <row r="135" customFormat="false" ht="15" hidden="false" customHeight="false" outlineLevel="0" collapsed="false">
      <c r="A135" s="123"/>
      <c r="B135" s="119"/>
      <c r="C135" s="119"/>
      <c r="D135" s="120"/>
      <c r="E135" s="121"/>
      <c r="F135" s="119"/>
      <c r="G135" s="119"/>
      <c r="H135" s="119"/>
      <c r="I135" s="121"/>
      <c r="J135" s="119"/>
      <c r="K135" s="119"/>
      <c r="L135" s="119"/>
      <c r="M135" s="122"/>
      <c r="N135" s="119"/>
      <c r="O135" s="119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61"/>
    </row>
    <row r="136" customFormat="false" ht="15" hidden="false" customHeight="false" outlineLevel="0" collapsed="false">
      <c r="A136" s="123"/>
      <c r="B136" s="124"/>
      <c r="C136" s="124"/>
      <c r="D136" s="124"/>
      <c r="E136" s="124"/>
      <c r="F136" s="124"/>
      <c r="G136" s="124"/>
      <c r="H136" s="124"/>
      <c r="I136" s="125"/>
      <c r="J136" s="126"/>
      <c r="K136" s="126"/>
      <c r="L136" s="126"/>
      <c r="M136" s="127"/>
      <c r="N136" s="128"/>
      <c r="O136" s="124"/>
      <c r="P136" s="129"/>
      <c r="Q136" s="130"/>
      <c r="R136" s="126"/>
      <c r="S136" s="126"/>
      <c r="T136" s="126"/>
      <c r="U136" s="124"/>
      <c r="V136" s="126"/>
      <c r="W136" s="126"/>
      <c r="X136" s="129"/>
      <c r="Y136" s="129"/>
    </row>
    <row r="137" customFormat="false" ht="15" hidden="false" customHeight="false" outlineLevel="0" collapsed="false">
      <c r="A137" s="123"/>
      <c r="B137" s="124"/>
      <c r="C137" s="124"/>
      <c r="D137" s="124"/>
      <c r="E137" s="124"/>
      <c r="F137" s="124"/>
      <c r="G137" s="124"/>
      <c r="H137" s="124"/>
      <c r="I137" s="125"/>
      <c r="J137" s="126"/>
      <c r="K137" s="126"/>
      <c r="L137" s="126"/>
      <c r="M137" s="127"/>
      <c r="N137" s="128"/>
      <c r="O137" s="124"/>
      <c r="P137" s="129"/>
      <c r="Q137" s="130"/>
      <c r="R137" s="126"/>
      <c r="S137" s="126"/>
      <c r="T137" s="126"/>
      <c r="U137" s="124"/>
      <c r="V137" s="126"/>
      <c r="W137" s="126"/>
      <c r="X137" s="129"/>
      <c r="Y137" s="129"/>
    </row>
    <row r="138" customFormat="false" ht="15" hidden="false" customHeight="false" outlineLevel="0" collapsed="false">
      <c r="A138" s="123"/>
      <c r="B138" s="124"/>
      <c r="C138" s="124"/>
      <c r="D138" s="124"/>
      <c r="E138" s="124"/>
      <c r="F138" s="124"/>
      <c r="G138" s="124"/>
      <c r="H138" s="124"/>
      <c r="I138" s="125"/>
      <c r="J138" s="126"/>
      <c r="K138" s="126"/>
      <c r="L138" s="126"/>
      <c r="M138" s="127"/>
      <c r="N138" s="128"/>
      <c r="O138" s="124"/>
      <c r="P138" s="129"/>
      <c r="Q138" s="130"/>
      <c r="R138" s="126"/>
      <c r="S138" s="126"/>
      <c r="T138" s="126"/>
      <c r="U138" s="124"/>
      <c r="V138" s="126"/>
      <c r="W138" s="126"/>
      <c r="X138" s="129"/>
      <c r="Y138" s="129"/>
    </row>
    <row r="139" customFormat="false" ht="15" hidden="false" customHeight="false" outlineLevel="0" collapsed="false">
      <c r="A139" s="123"/>
      <c r="B139" s="124"/>
      <c r="C139" s="124"/>
      <c r="D139" s="124"/>
      <c r="E139" s="124"/>
      <c r="F139" s="124"/>
      <c r="G139" s="124"/>
      <c r="H139" s="124"/>
      <c r="I139" s="125"/>
      <c r="J139" s="126"/>
      <c r="K139" s="126"/>
      <c r="L139" s="126"/>
      <c r="M139" s="127"/>
      <c r="N139" s="128"/>
      <c r="O139" s="124"/>
      <c r="P139" s="129"/>
      <c r="Q139" s="130"/>
      <c r="R139" s="126"/>
      <c r="S139" s="126"/>
      <c r="T139" s="126"/>
      <c r="U139" s="124"/>
      <c r="V139" s="126"/>
      <c r="W139" s="126"/>
      <c r="X139" s="129"/>
      <c r="Y139" s="129"/>
    </row>
    <row r="140" customFormat="false" ht="15" hidden="false" customHeight="false" outlineLevel="0" collapsed="false">
      <c r="A140" s="123"/>
      <c r="B140" s="124"/>
      <c r="C140" s="124"/>
      <c r="D140" s="124"/>
      <c r="E140" s="124"/>
      <c r="F140" s="124"/>
      <c r="G140" s="124"/>
      <c r="H140" s="124"/>
      <c r="I140" s="125"/>
      <c r="J140" s="126"/>
      <c r="K140" s="126"/>
      <c r="L140" s="126"/>
      <c r="M140" s="127"/>
      <c r="N140" s="128"/>
      <c r="O140" s="124"/>
      <c r="P140" s="129"/>
      <c r="Q140" s="130"/>
      <c r="R140" s="126"/>
      <c r="S140" s="126"/>
      <c r="T140" s="126"/>
      <c r="U140" s="124"/>
      <c r="V140" s="126"/>
      <c r="W140" s="126"/>
      <c r="X140" s="129"/>
      <c r="Y140" s="129"/>
    </row>
    <row r="141" customFormat="false" ht="15" hidden="false" customHeight="false" outlineLevel="0" collapsed="false">
      <c r="A141" s="123"/>
      <c r="B141" s="124"/>
      <c r="C141" s="124"/>
      <c r="D141" s="124"/>
      <c r="E141" s="124"/>
      <c r="F141" s="124"/>
      <c r="G141" s="124"/>
      <c r="H141" s="124"/>
      <c r="I141" s="125"/>
      <c r="J141" s="126"/>
      <c r="K141" s="126"/>
      <c r="L141" s="126"/>
      <c r="M141" s="127"/>
      <c r="N141" s="128"/>
      <c r="O141" s="124"/>
      <c r="P141" s="129"/>
      <c r="Q141" s="130"/>
      <c r="R141" s="126"/>
      <c r="S141" s="126"/>
      <c r="T141" s="126"/>
      <c r="U141" s="124"/>
      <c r="V141" s="126"/>
      <c r="W141" s="126"/>
      <c r="X141" s="129"/>
      <c r="Y141" s="129"/>
    </row>
    <row r="142" customFormat="false" ht="15" hidden="false" customHeight="false" outlineLevel="0" collapsed="false">
      <c r="A142" s="123"/>
      <c r="B142" s="124"/>
      <c r="C142" s="124"/>
      <c r="D142" s="124"/>
      <c r="E142" s="124"/>
      <c r="F142" s="124"/>
      <c r="G142" s="124"/>
      <c r="H142" s="124"/>
      <c r="I142" s="125"/>
      <c r="J142" s="126"/>
      <c r="K142" s="126"/>
      <c r="L142" s="126"/>
      <c r="M142" s="127"/>
      <c r="N142" s="128"/>
      <c r="O142" s="124"/>
      <c r="P142" s="129"/>
      <c r="Q142" s="130"/>
      <c r="R142" s="126"/>
      <c r="S142" s="126"/>
      <c r="T142" s="126"/>
      <c r="U142" s="124"/>
      <c r="V142" s="126"/>
      <c r="W142" s="126"/>
      <c r="X142" s="129"/>
      <c r="Y142" s="129"/>
    </row>
    <row r="143" customFormat="false" ht="15" hidden="false" customHeight="false" outlineLevel="0" collapsed="false">
      <c r="A143" s="123"/>
      <c r="B143" s="124"/>
      <c r="C143" s="124"/>
      <c r="D143" s="124"/>
      <c r="E143" s="124"/>
      <c r="F143" s="124"/>
      <c r="G143" s="124"/>
      <c r="H143" s="124"/>
      <c r="I143" s="125"/>
      <c r="J143" s="126"/>
      <c r="K143" s="126"/>
      <c r="L143" s="126"/>
      <c r="M143" s="127"/>
      <c r="N143" s="128"/>
      <c r="O143" s="124"/>
      <c r="P143" s="129"/>
      <c r="Q143" s="130"/>
      <c r="R143" s="126"/>
      <c r="S143" s="126"/>
      <c r="T143" s="126"/>
      <c r="U143" s="124"/>
      <c r="V143" s="126"/>
      <c r="W143" s="126"/>
      <c r="X143" s="129"/>
      <c r="Y143" s="129"/>
    </row>
    <row r="144" customFormat="false" ht="15" hidden="false" customHeight="false" outlineLevel="0" collapsed="false">
      <c r="A144" s="123"/>
      <c r="B144" s="124"/>
      <c r="C144" s="124"/>
      <c r="D144" s="124"/>
      <c r="E144" s="124"/>
      <c r="F144" s="124"/>
      <c r="G144" s="124"/>
      <c r="H144" s="124"/>
      <c r="I144" s="125"/>
      <c r="J144" s="126"/>
      <c r="K144" s="126"/>
      <c r="L144" s="126"/>
      <c r="M144" s="127"/>
      <c r="N144" s="128"/>
      <c r="O144" s="124"/>
      <c r="P144" s="129"/>
      <c r="Q144" s="130"/>
      <c r="R144" s="126"/>
      <c r="S144" s="126"/>
      <c r="T144" s="126"/>
      <c r="U144" s="124"/>
      <c r="V144" s="126"/>
      <c r="W144" s="126"/>
      <c r="X144" s="129"/>
      <c r="Y144" s="129"/>
    </row>
    <row r="145" customFormat="false" ht="15" hidden="false" customHeight="false" outlineLevel="0" collapsed="false">
      <c r="A145" s="123"/>
      <c r="B145" s="124"/>
      <c r="C145" s="124"/>
      <c r="D145" s="124"/>
      <c r="E145" s="124"/>
      <c r="F145" s="124"/>
      <c r="G145" s="124"/>
      <c r="H145" s="124"/>
      <c r="I145" s="125"/>
      <c r="J145" s="126"/>
      <c r="K145" s="126"/>
      <c r="L145" s="126"/>
      <c r="M145" s="127"/>
      <c r="N145" s="128"/>
      <c r="O145" s="124"/>
      <c r="P145" s="129"/>
      <c r="Q145" s="130"/>
      <c r="R145" s="126"/>
      <c r="S145" s="126"/>
      <c r="T145" s="126"/>
      <c r="U145" s="124"/>
      <c r="V145" s="126"/>
      <c r="W145" s="126"/>
      <c r="X145" s="129"/>
      <c r="Y145" s="129"/>
    </row>
    <row r="146" customFormat="false" ht="15" hidden="false" customHeight="false" outlineLevel="0" collapsed="false">
      <c r="A146" s="123"/>
      <c r="B146" s="124"/>
      <c r="C146" s="124"/>
      <c r="D146" s="124"/>
      <c r="E146" s="124"/>
      <c r="F146" s="124"/>
      <c r="G146" s="124"/>
      <c r="H146" s="124"/>
      <c r="I146" s="125"/>
      <c r="J146" s="126"/>
      <c r="K146" s="126"/>
      <c r="L146" s="126"/>
      <c r="M146" s="127"/>
      <c r="N146" s="128"/>
      <c r="O146" s="124"/>
      <c r="P146" s="129"/>
      <c r="Q146" s="130"/>
      <c r="R146" s="126"/>
      <c r="S146" s="126"/>
      <c r="T146" s="126"/>
      <c r="U146" s="124"/>
      <c r="V146" s="126"/>
      <c r="W146" s="126"/>
      <c r="X146" s="129"/>
      <c r="Y146" s="129"/>
    </row>
    <row r="147" customFormat="false" ht="15" hidden="false" customHeight="false" outlineLevel="0" collapsed="false">
      <c r="A147" s="123"/>
      <c r="B147" s="124"/>
      <c r="C147" s="124"/>
      <c r="D147" s="124"/>
      <c r="E147" s="124"/>
      <c r="F147" s="124"/>
      <c r="G147" s="124"/>
      <c r="H147" s="124"/>
      <c r="I147" s="125"/>
      <c r="J147" s="126"/>
      <c r="K147" s="126"/>
      <c r="L147" s="126"/>
      <c r="M147" s="127"/>
      <c r="N147" s="128"/>
      <c r="O147" s="124"/>
      <c r="P147" s="129"/>
      <c r="Q147" s="130"/>
      <c r="R147" s="126"/>
      <c r="S147" s="126"/>
      <c r="T147" s="126"/>
      <c r="U147" s="124"/>
      <c r="V147" s="126"/>
      <c r="W147" s="126"/>
      <c r="X147" s="129"/>
      <c r="Y147" s="129"/>
    </row>
    <row r="148" customFormat="false" ht="15" hidden="false" customHeight="false" outlineLevel="0" collapsed="false">
      <c r="A148" s="123"/>
      <c r="B148" s="124"/>
      <c r="C148" s="124"/>
      <c r="D148" s="124"/>
      <c r="E148" s="124"/>
      <c r="F148" s="124"/>
      <c r="G148" s="124"/>
      <c r="H148" s="124"/>
      <c r="I148" s="125"/>
      <c r="J148" s="126"/>
      <c r="K148" s="126"/>
      <c r="L148" s="126"/>
      <c r="M148" s="127"/>
      <c r="N148" s="128"/>
      <c r="O148" s="124"/>
      <c r="P148" s="129"/>
      <c r="Q148" s="130"/>
      <c r="R148" s="126"/>
      <c r="S148" s="126"/>
      <c r="T148" s="126"/>
      <c r="U148" s="124"/>
      <c r="V148" s="126"/>
      <c r="W148" s="126"/>
      <c r="X148" s="129"/>
      <c r="Y148" s="129"/>
    </row>
    <row r="149" customFormat="false" ht="15" hidden="false" customHeight="false" outlineLevel="0" collapsed="false">
      <c r="A149" s="123"/>
      <c r="B149" s="124"/>
      <c r="C149" s="124"/>
      <c r="D149" s="124"/>
      <c r="E149" s="124"/>
      <c r="F149" s="124"/>
      <c r="G149" s="124"/>
      <c r="H149" s="124"/>
      <c r="I149" s="125"/>
      <c r="J149" s="126"/>
      <c r="K149" s="126"/>
      <c r="L149" s="126"/>
      <c r="M149" s="127"/>
      <c r="N149" s="128"/>
      <c r="O149" s="124"/>
      <c r="P149" s="129"/>
      <c r="Q149" s="130"/>
      <c r="R149" s="126"/>
      <c r="S149" s="126"/>
      <c r="T149" s="126"/>
      <c r="U149" s="124"/>
      <c r="V149" s="126"/>
      <c r="W149" s="126"/>
      <c r="X149" s="129"/>
      <c r="Y149" s="129"/>
    </row>
    <row r="150" customFormat="false" ht="15" hidden="false" customHeight="false" outlineLevel="0" collapsed="false">
      <c r="A150" s="123"/>
      <c r="B150" s="124"/>
      <c r="C150" s="124"/>
      <c r="D150" s="124"/>
      <c r="E150" s="124"/>
      <c r="F150" s="124"/>
      <c r="G150" s="124"/>
      <c r="H150" s="124"/>
      <c r="I150" s="125"/>
      <c r="J150" s="126"/>
      <c r="K150" s="126"/>
      <c r="L150" s="126"/>
      <c r="M150" s="127"/>
      <c r="N150" s="128"/>
      <c r="O150" s="124"/>
      <c r="P150" s="129"/>
      <c r="Q150" s="130"/>
      <c r="R150" s="126"/>
      <c r="S150" s="126"/>
      <c r="T150" s="126"/>
      <c r="U150" s="124"/>
      <c r="V150" s="126"/>
      <c r="W150" s="126"/>
      <c r="X150" s="129"/>
      <c r="Y150" s="129"/>
    </row>
    <row r="151" customFormat="false" ht="15" hidden="false" customHeight="false" outlineLevel="0" collapsed="false">
      <c r="A151" s="123"/>
      <c r="B151" s="124"/>
      <c r="C151" s="124"/>
      <c r="D151" s="124"/>
      <c r="E151" s="124"/>
      <c r="F151" s="124"/>
      <c r="G151" s="124"/>
      <c r="H151" s="124"/>
      <c r="I151" s="125"/>
      <c r="J151" s="126"/>
      <c r="K151" s="126"/>
      <c r="L151" s="126"/>
      <c r="M151" s="127"/>
      <c r="N151" s="128"/>
      <c r="O151" s="124"/>
      <c r="P151" s="129"/>
      <c r="Q151" s="130"/>
      <c r="R151" s="126"/>
      <c r="S151" s="126"/>
      <c r="T151" s="126"/>
      <c r="U151" s="124"/>
      <c r="V151" s="126"/>
      <c r="W151" s="126"/>
      <c r="X151" s="129"/>
      <c r="Y151" s="129"/>
    </row>
    <row r="152" customFormat="false" ht="15" hidden="false" customHeight="false" outlineLevel="0" collapsed="false">
      <c r="A152" s="123"/>
      <c r="B152" s="124"/>
      <c r="C152" s="124"/>
      <c r="D152" s="124"/>
      <c r="E152" s="124"/>
      <c r="F152" s="124"/>
      <c r="G152" s="124"/>
      <c r="H152" s="124"/>
      <c r="I152" s="125"/>
      <c r="J152" s="126"/>
      <c r="K152" s="126"/>
      <c r="L152" s="126"/>
      <c r="M152" s="127"/>
      <c r="N152" s="128"/>
      <c r="O152" s="124"/>
      <c r="P152" s="129"/>
      <c r="Q152" s="130"/>
      <c r="R152" s="126"/>
      <c r="S152" s="126"/>
      <c r="T152" s="126"/>
      <c r="U152" s="124"/>
      <c r="V152" s="126"/>
      <c r="W152" s="126"/>
      <c r="X152" s="129"/>
      <c r="Y152" s="129"/>
    </row>
    <row r="153" customFormat="false" ht="15" hidden="false" customHeight="false" outlineLevel="0" collapsed="false">
      <c r="A153" s="123"/>
      <c r="B153" s="124"/>
      <c r="C153" s="124"/>
      <c r="D153" s="124"/>
      <c r="E153" s="124"/>
      <c r="F153" s="124"/>
      <c r="G153" s="124"/>
      <c r="H153" s="124"/>
      <c r="I153" s="125"/>
      <c r="J153" s="126"/>
      <c r="K153" s="126"/>
      <c r="L153" s="126"/>
      <c r="M153" s="127"/>
      <c r="N153" s="128"/>
      <c r="O153" s="124"/>
      <c r="P153" s="129"/>
      <c r="Q153" s="130"/>
      <c r="R153" s="126"/>
      <c r="S153" s="126"/>
      <c r="T153" s="126"/>
      <c r="U153" s="124"/>
      <c r="V153" s="126"/>
      <c r="W153" s="126"/>
      <c r="X153" s="129"/>
      <c r="Y153" s="129"/>
    </row>
    <row r="154" customFormat="false" ht="15" hidden="false" customHeight="false" outlineLevel="0" collapsed="false">
      <c r="A154" s="123"/>
      <c r="B154" s="124"/>
      <c r="C154" s="124"/>
      <c r="D154" s="124"/>
      <c r="E154" s="124"/>
      <c r="F154" s="124"/>
      <c r="G154" s="124"/>
      <c r="H154" s="124"/>
      <c r="I154" s="125"/>
      <c r="J154" s="126"/>
      <c r="K154" s="126"/>
      <c r="L154" s="126"/>
      <c r="M154" s="127"/>
      <c r="N154" s="128"/>
      <c r="O154" s="124"/>
      <c r="P154" s="129"/>
      <c r="Q154" s="130"/>
      <c r="R154" s="126"/>
      <c r="S154" s="126"/>
      <c r="T154" s="126"/>
      <c r="U154" s="124"/>
      <c r="V154" s="126"/>
      <c r="W154" s="126"/>
      <c r="X154" s="129"/>
      <c r="Y154" s="129"/>
    </row>
    <row r="155" customFormat="false" ht="15" hidden="false" customHeight="false" outlineLevel="0" collapsed="false">
      <c r="A155" s="123"/>
      <c r="B155" s="124"/>
      <c r="C155" s="124"/>
      <c r="D155" s="124"/>
      <c r="E155" s="124"/>
      <c r="F155" s="124"/>
      <c r="G155" s="124"/>
      <c r="H155" s="124"/>
      <c r="I155" s="125"/>
      <c r="J155" s="126"/>
      <c r="K155" s="126"/>
      <c r="L155" s="126"/>
      <c r="M155" s="127"/>
      <c r="N155" s="128"/>
      <c r="O155" s="124"/>
      <c r="P155" s="129"/>
      <c r="Q155" s="130"/>
      <c r="R155" s="126"/>
      <c r="S155" s="126"/>
      <c r="T155" s="126"/>
      <c r="U155" s="124"/>
      <c r="V155" s="126"/>
      <c r="W155" s="126"/>
      <c r="X155" s="129"/>
      <c r="Y155" s="129"/>
    </row>
    <row r="156" customFormat="false" ht="15" hidden="false" customHeight="false" outlineLevel="0" collapsed="false">
      <c r="A156" s="123"/>
      <c r="B156" s="124"/>
      <c r="C156" s="124"/>
      <c r="D156" s="124"/>
      <c r="E156" s="124"/>
      <c r="F156" s="124"/>
      <c r="G156" s="124"/>
      <c r="H156" s="124"/>
      <c r="I156" s="125"/>
      <c r="J156" s="126"/>
      <c r="K156" s="126"/>
      <c r="L156" s="126"/>
      <c r="M156" s="127"/>
      <c r="N156" s="128"/>
      <c r="O156" s="124"/>
      <c r="P156" s="129"/>
      <c r="Q156" s="130"/>
      <c r="R156" s="126"/>
      <c r="S156" s="126"/>
      <c r="T156" s="126"/>
      <c r="U156" s="124"/>
      <c r="V156" s="126"/>
      <c r="W156" s="126"/>
      <c r="X156" s="129"/>
      <c r="Y156" s="129"/>
    </row>
    <row r="157" customFormat="false" ht="15" hidden="false" customHeight="false" outlineLevel="0" collapsed="false">
      <c r="A157" s="123"/>
      <c r="B157" s="124"/>
      <c r="C157" s="124"/>
      <c r="D157" s="124"/>
      <c r="E157" s="124"/>
      <c r="F157" s="124"/>
      <c r="G157" s="124"/>
      <c r="H157" s="124"/>
      <c r="I157" s="125"/>
      <c r="J157" s="126"/>
      <c r="K157" s="126"/>
      <c r="L157" s="126"/>
      <c r="M157" s="127"/>
      <c r="N157" s="128"/>
      <c r="O157" s="124"/>
      <c r="P157" s="129"/>
      <c r="Q157" s="130"/>
      <c r="R157" s="126"/>
      <c r="S157" s="126"/>
      <c r="T157" s="126"/>
      <c r="U157" s="124"/>
      <c r="V157" s="126"/>
      <c r="W157" s="126"/>
      <c r="X157" s="129"/>
      <c r="Y157" s="129"/>
    </row>
    <row r="158" customFormat="false" ht="15" hidden="false" customHeight="false" outlineLevel="0" collapsed="false">
      <c r="A158" s="123"/>
      <c r="B158" s="124"/>
      <c r="C158" s="124"/>
      <c r="D158" s="124"/>
      <c r="E158" s="124"/>
      <c r="F158" s="124"/>
      <c r="G158" s="124"/>
      <c r="H158" s="124"/>
      <c r="I158" s="125"/>
      <c r="J158" s="126"/>
      <c r="K158" s="126"/>
      <c r="L158" s="126"/>
      <c r="M158" s="127"/>
      <c r="N158" s="128"/>
      <c r="O158" s="124"/>
      <c r="P158" s="129"/>
      <c r="Q158" s="130"/>
      <c r="R158" s="126"/>
      <c r="S158" s="126"/>
      <c r="T158" s="126"/>
      <c r="U158" s="124"/>
      <c r="V158" s="126"/>
      <c r="W158" s="126"/>
      <c r="X158" s="129"/>
      <c r="Y158" s="129"/>
    </row>
    <row r="159" customFormat="false" ht="15" hidden="false" customHeight="false" outlineLevel="0" collapsed="false">
      <c r="A159" s="123"/>
      <c r="B159" s="124"/>
      <c r="C159" s="124"/>
      <c r="D159" s="124"/>
      <c r="E159" s="124"/>
      <c r="F159" s="124"/>
      <c r="G159" s="124"/>
      <c r="H159" s="124"/>
      <c r="I159" s="125"/>
      <c r="J159" s="126"/>
      <c r="K159" s="126"/>
      <c r="L159" s="126"/>
      <c r="M159" s="127"/>
      <c r="N159" s="128"/>
      <c r="O159" s="124"/>
      <c r="P159" s="129"/>
      <c r="Q159" s="130"/>
      <c r="R159" s="126"/>
      <c r="S159" s="126"/>
      <c r="T159" s="126"/>
      <c r="U159" s="124"/>
      <c r="V159" s="126"/>
      <c r="W159" s="126"/>
      <c r="X159" s="129"/>
      <c r="Y159" s="129"/>
    </row>
    <row r="160" customFormat="false" ht="15" hidden="false" customHeight="false" outlineLevel="0" collapsed="false">
      <c r="O160" s="124"/>
    </row>
  </sheetData>
  <autoFilter ref="A11:Y117"/>
  <mergeCells count="4">
    <mergeCell ref="R8:W8"/>
    <mergeCell ref="A10:Q10"/>
    <mergeCell ref="R10:W10"/>
    <mergeCell ref="X10:Y10"/>
  </mergeCells>
  <printOptions headings="false" gridLines="false" gridLinesSet="true" horizontalCentered="false" verticalCentered="false"/>
  <pageMargins left="0.440277777777778" right="0.25" top="0.75" bottom="0.75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2022-12-04T08:38:18Z</dcterms:created>
  <dc:creator>Pascal Aschwanden</dc:creator>
  <dc:description/>
  <dc:language>de-CH</dc:language>
  <cp:lastModifiedBy/>
  <cp:lastPrinted>2026-01-16T07:04:20Z</cp:lastPrinted>
  <dcterms:modified xsi:type="dcterms:W3CDTF">2026-07-07T10:22:22Z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