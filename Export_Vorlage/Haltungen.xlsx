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tungen" sheetId="1" state="visible" r:id="rId1"/>
  </sheets>
  <definedNames>
    <definedName name="_xlnm._FilterDatabase" localSheetId="0" hidden="1">'Haltungen'!$A$26:$AA$5000</definedName>
    <definedName name="_xlnm.Print_Titles" localSheetId="0">'Haltungen'!$26:$26,'Haltungen'!$A:$B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CHF&quot; #,##0.00"/>
    <numFmt numFmtId="165" formatCode="#,##0.##"/>
    <numFmt numFmtId="166" formatCode="0&quot; Haltungen&quot;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9"/>
    </font>
    <font>
      <name val="Calibri"/>
      <color rgb="FF1F2933"/>
      <sz val="9"/>
    </font>
    <font>
      <name val="Calibri"/>
      <b val="1"/>
      <color rgb="FF1F2933"/>
      <sz val="9"/>
    </font>
    <font>
      <name val="Calibri"/>
      <b val="1"/>
      <color rgb="FF1F2933"/>
      <sz val="10"/>
    </font>
    <font>
      <name val="Calibri"/>
      <b val="1"/>
      <color rgb="FF1F2933"/>
      <sz val="14"/>
    </font>
    <font>
      <name val="Calibri"/>
      <color rgb="FF0563C1"/>
      <sz val="9"/>
      <u val="single"/>
    </font>
  </fonts>
  <fills count="10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F5F7FA"/>
      </patternFill>
    </fill>
    <fill>
      <patternFill patternType="solid">
        <fgColor rgb="FFE2EFDA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E9F2E3"/>
      </patternFill>
    </fill>
  </fills>
  <borders count="23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n">
        <color rgb="FF8497B0"/>
      </left>
      <right style="thin">
        <color rgb="FF8497B0"/>
      </right>
      <top style="thin">
        <color rgb="FF8497B0"/>
      </top>
      <bottom style="thin">
        <color rgb="FF8497B0"/>
      </bottom>
    </border>
    <border>
      <left style="thick">
        <color rgb="FFFF000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FF660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FFFF0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AEB135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92D05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548235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FF800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00B0F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A6A6A6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3F3F46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80808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70AD47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E7E6E6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BF8F0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7030A0"/>
      </left>
      <right style="thin">
        <color rgb="FFD6DCE4"/>
      </right>
      <top style="thin">
        <color rgb="FFD6DCE4"/>
      </top>
      <bottom style="thin">
        <color rgb="FFD6DCE4"/>
      </bottom>
    </border>
    <border>
      <left style="thick">
        <color rgb="FF00B050"/>
      </left>
      <right style="thin">
        <color rgb="FFD6DCE4"/>
      </right>
      <top style="thin">
        <color rgb="FFD6DCE4"/>
      </top>
      <bottom style="thin">
        <color rgb="FFD6DCE4"/>
      </bottom>
    </border>
    <border>
      <bottom style="thick">
        <color rgb="FF70AD47"/>
      </bottom>
    </border>
    <border>
      <left style="thin">
        <color rgb="FF5D6E85"/>
      </left>
      <right style="thin">
        <color rgb="FF5D6E85"/>
      </right>
      <top style="thin">
        <color rgb="FF44546A"/>
      </top>
      <bottom style="medium">
        <color rgb="FF2F3B4C"/>
      </bottom>
    </border>
    <border>
      <left style="thin">
        <color rgb="FFB4C0CE"/>
      </left>
      <right style="thin">
        <color rgb="FFB4C0CE"/>
      </right>
      <top style="thin">
        <color rgb="FFB4C0CE"/>
      </top>
      <bottom style="thin">
        <color rgb="FFB4C0CE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3" applyAlignment="1" pivotButton="0" quotePrefix="0" xfId="0">
      <alignment horizontal="left" vertical="center" indent="1"/>
    </xf>
    <xf numFmtId="3" fontId="3" fillId="3" borderId="1" applyAlignment="1" pivotButton="0" quotePrefix="0" xfId="0">
      <alignment horizontal="center" vertical="center"/>
    </xf>
    <xf numFmtId="0" fontId="2" fillId="3" borderId="8" applyAlignment="1" pivotButton="0" quotePrefix="0" xfId="0">
      <alignment horizontal="left" vertical="center" indent="1"/>
    </xf>
    <xf numFmtId="0" fontId="2" fillId="3" borderId="11" applyAlignment="1" pivotButton="0" quotePrefix="0" xfId="0">
      <alignment horizontal="left" vertical="center" indent="1"/>
    </xf>
    <xf numFmtId="0" fontId="2" fillId="3" borderId="7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 indent="1"/>
    </xf>
    <xf numFmtId="0" fontId="2" fillId="3" borderId="5" applyAlignment="1" pivotButton="0" quotePrefix="0" xfId="0">
      <alignment horizontal="left" vertical="center" indent="1"/>
    </xf>
    <xf numFmtId="0" fontId="2" fillId="3" borderId="12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2" fillId="3" borderId="17" applyAlignment="1" pivotButton="0" quotePrefix="0" xfId="0">
      <alignment horizontal="left" vertical="center" indent="1"/>
    </xf>
    <xf numFmtId="0" fontId="2" fillId="3" borderId="19" applyAlignment="1" pivotButton="0" quotePrefix="0" xfId="0">
      <alignment horizontal="left" vertical="center" indent="1"/>
    </xf>
    <xf numFmtId="0" fontId="2" fillId="3" borderId="9" applyAlignment="1" pivotButton="0" quotePrefix="0" xfId="0">
      <alignment horizontal="left" vertical="center" indent="1"/>
    </xf>
    <xf numFmtId="0" fontId="2" fillId="3" borderId="13" applyAlignment="1" pivotButton="0" quotePrefix="0" xfId="0">
      <alignment horizontal="left" vertical="center" indent="1"/>
    </xf>
    <xf numFmtId="0" fontId="2" fillId="3" borderId="10" applyAlignment="1" pivotButton="0" quotePrefix="0" xfId="0">
      <alignment horizontal="left" vertical="center" indent="1"/>
    </xf>
    <xf numFmtId="0" fontId="2" fillId="3" borderId="15" applyAlignment="1" pivotButton="0" quotePrefix="0" xfId="0">
      <alignment horizontal="left" vertical="center" indent="1"/>
    </xf>
    <xf numFmtId="0" fontId="2" fillId="3" borderId="6" applyAlignment="1" pivotButton="0" quotePrefix="0" xfId="0">
      <alignment horizontal="left" vertical="center" indent="1"/>
    </xf>
    <xf numFmtId="0" fontId="2" fillId="3" borderId="18" applyAlignment="1" pivotButton="0" quotePrefix="0" xfId="0">
      <alignment horizontal="left" vertical="center" indent="1"/>
    </xf>
    <xf numFmtId="0" fontId="2" fillId="3" borderId="14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66" fontId="4" fillId="3" borderId="0" applyAlignment="1" pivotButton="0" quotePrefix="0" xfId="0">
      <alignment horizontal="right" vertical="center" indent="1"/>
    </xf>
    <xf numFmtId="4" fontId="4" fillId="3" borderId="0" applyAlignment="1" pivotButton="0" quotePrefix="0" xfId="0">
      <alignment horizontal="right" vertical="center" indent="1"/>
    </xf>
    <xf numFmtId="0" fontId="5" fillId="0" borderId="20" applyAlignment="1" pivotButton="0" quotePrefix="0" xfId="0">
      <alignment horizontal="left" vertical="bottom"/>
    </xf>
    <xf numFmtId="0" fontId="0" fillId="0" borderId="20" pivotButton="0" quotePrefix="0" xfId="0"/>
    <xf numFmtId="0" fontId="4" fillId="9" borderId="20" applyAlignment="1" pivotButton="0" quotePrefix="0" xfId="0">
      <alignment horizontal="center" vertical="bottom"/>
    </xf>
    <xf numFmtId="0" fontId="0" fillId="9" borderId="20" pivotButton="0" quotePrefix="0" xfId="0"/>
    <xf numFmtId="0" fontId="1" fillId="2" borderId="21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3" fontId="2" fillId="0" borderId="22" applyAlignment="1" pivotButton="0" quotePrefix="0" xfId="0">
      <alignment horizontal="right" vertical="center"/>
    </xf>
    <xf numFmtId="4" fontId="2" fillId="0" borderId="22" applyAlignment="1" pivotButton="0" quotePrefix="0" xfId="0">
      <alignment horizontal="right" vertical="center"/>
    </xf>
    <xf numFmtId="0" fontId="2" fillId="0" borderId="22" applyAlignment="1" pivotButton="0" quotePrefix="0" xfId="0">
      <alignment horizontal="left" vertical="top" wrapText="1"/>
    </xf>
    <xf numFmtId="164" fontId="2" fillId="0" borderId="22" applyAlignment="1" pivotButton="0" quotePrefix="0" xfId="0">
      <alignment horizontal="right" vertical="center"/>
    </xf>
    <xf numFmtId="0" fontId="6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right" vertical="center"/>
    </xf>
  </cellXfs>
  <cellStyles count="1">
    <cellStyle name="Normal" xfId="0" builtinId="0" hidden="0"/>
  </cellStyles>
  <dxfs count="13">
    <dxf>
      <font>
        <name val="Calibri"/>
        <b val="1"/>
        <color rgb="FFFFFFFF"/>
        <sz val="9"/>
      </font>
      <fill>
        <patternFill patternType="solid">
          <fgColor rgb="FF548235"/>
          <bgColor rgb="FF548235"/>
        </patternFill>
      </fill>
    </dxf>
    <dxf>
      <font>
        <name val="Calibri"/>
        <b val="1"/>
        <color rgb="FFFFFFFF"/>
        <sz val="9"/>
      </font>
      <fill>
        <patternFill patternType="solid">
          <fgColor rgb="FFBF8F00"/>
          <bgColor rgb="FFBF8F00"/>
        </patternFill>
      </fill>
    </dxf>
    <dxf>
      <font>
        <name val="Calibri"/>
        <b val="1"/>
        <color rgb="FF1F2933"/>
        <sz val="9"/>
      </font>
      <fill>
        <patternFill patternType="solid">
          <fgColor rgb="FF00B0F0"/>
          <bgColor rgb="FF00B0F0"/>
        </patternFill>
      </fill>
    </dxf>
    <dxf>
      <font>
        <name val="Calibri"/>
        <b val="1"/>
        <color rgb="FFFFFFFF"/>
        <sz val="9"/>
      </font>
      <fill>
        <patternFill patternType="solid">
          <fgColor rgb="FF7030A0"/>
          <bgColor rgb="FF7030A0"/>
        </patternFill>
      </fill>
    </dxf>
    <dxf>
      <font>
        <name val="Calibri"/>
        <b val="1"/>
        <color rgb="FFFFFFFF"/>
        <sz val="9"/>
      </font>
      <fill>
        <patternFill patternType="solid">
          <fgColor rgb="FFFF0000"/>
          <bgColor rgb="FFFF0000"/>
        </patternFill>
      </fill>
    </dxf>
    <dxf>
      <font>
        <name val="Calibri"/>
        <b val="1"/>
        <color rgb="FFFFFFFF"/>
        <sz val="9"/>
      </font>
      <fill>
        <patternFill patternType="solid">
          <fgColor rgb="FFFF6600"/>
          <bgColor rgb="FFFF6600"/>
        </patternFill>
      </fill>
    </dxf>
    <dxf>
      <font>
        <name val="Calibri"/>
        <b val="1"/>
        <color rgb="FF1F2933"/>
        <sz val="9"/>
      </font>
      <fill>
        <patternFill patternType="solid">
          <fgColor rgb="FFFFFF00"/>
          <bgColor rgb="FFFFFF00"/>
        </patternFill>
      </fill>
    </dxf>
    <dxf>
      <font>
        <name val="Calibri"/>
        <b val="1"/>
        <color rgb="FF1F2933"/>
        <sz val="9"/>
      </font>
      <fill>
        <patternFill patternType="solid">
          <fgColor rgb="FFAEB135"/>
          <bgColor rgb="FFAEB135"/>
        </patternFill>
      </fill>
    </dxf>
    <dxf>
      <font>
        <name val="Calibri"/>
        <b val="1"/>
        <color rgb="FF1F2933"/>
        <sz val="9"/>
      </font>
      <fill>
        <patternFill patternType="solid">
          <fgColor rgb="FF92D050"/>
          <bgColor rgb="FF92D050"/>
        </patternFill>
      </fill>
    </dxf>
    <dxf>
      <font>
        <name val="Calibri"/>
        <b val="1"/>
        <color rgb="FF1F2933"/>
        <sz val="9"/>
      </font>
      <fill>
        <patternFill patternType="solid">
          <fgColor rgb="FFE7E6E6"/>
          <bgColor rgb="FFE7E6E6"/>
        </patternFill>
      </fill>
    </dxf>
    <dxf>
      <font>
        <name val="Calibri"/>
        <b val="1"/>
        <color rgb="FFFFFFFF"/>
        <sz val="9"/>
      </font>
      <fill>
        <patternFill patternType="solid">
          <fgColor rgb="FFFF8000"/>
          <bgColor rgb="FFFF8000"/>
        </patternFill>
      </fill>
    </dxf>
    <dxf>
      <font>
        <name val="Calibri"/>
        <b val="1"/>
        <color rgb="FFFFFFFF"/>
        <sz val="9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F7F9FC"/>
          <bgColor rgb="FFF7F9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Zustandsklassen</a:t>
            </a:r>
          </a:p>
        </rich>
      </tx>
    </title>
    <plotArea>
      <barChart>
        <barDir val="bar"/>
        <grouping val="percentStacked"/>
        <ser>
          <idx val="0"/>
          <order val="0"/>
          <spPr>
            <a:solidFill>
              <a:srgbClr val="FF00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'Haltungen'!$C$17</f>
            </numRef>
          </val>
        </ser>
        <ser>
          <idx val="1"/>
          <order val="1"/>
          <spPr>
            <a:solidFill>
              <a:srgbClr val="FF66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'Haltungen'!$C$18</f>
            </numRef>
          </val>
        </ser>
        <ser>
          <idx val="2"/>
          <order val="2"/>
          <spPr>
            <a:solidFill>
              <a:srgbClr val="FFFF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'Haltungen'!$C$19</f>
            </numRef>
          </val>
        </ser>
        <ser>
          <idx val="3"/>
          <order val="3"/>
          <spPr>
            <a:solidFill>
              <a:srgbClr val="AEB135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'Haltungen'!$C$20</f>
            </numRef>
          </val>
        </ser>
        <ser>
          <idx val="4"/>
          <order val="4"/>
          <spPr>
            <a:solidFill>
              <a:srgbClr val="92D05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'Haltungen'!$C$21</f>
            </numRef>
          </val>
        </ser>
        <dLbls>
          <numFmt formatCode="#,##0;-#,##0;&quot;&quot;"/>
          <txPr>
            <a:bodyPr/>
            <a:p>
              <a:pPr>
                <a:defRPr sz="700" b="1"/>
              </a:pPr>
              <a:r>
                <a:t/>
              </a:r>
              <a:endParaRPr sz="700" b="1"/>
            </a:p>
          </txPr>
          <showLegendKey val="0"/>
          <showVal val="1"/>
          <showCatName val="0"/>
          <showSerName val="0"/>
        </dLbls>
        <gapWidth val="2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Sanieren Ja / Nein</a:t>
            </a:r>
          </a:p>
        </rich>
      </tx>
    </title>
    <plotArea>
      <barChart>
        <barDir val="bar"/>
        <grouping val="percentStacked"/>
        <ser>
          <idx val="0"/>
          <order val="0"/>
          <spPr>
            <a:solidFill>
              <a:srgbClr val="92D05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'Haltungen'!$L$17</f>
            </numRef>
          </val>
        </ser>
        <ser>
          <idx val="1"/>
          <order val="1"/>
          <spPr>
            <a:solidFill>
              <a:srgbClr val="E7E6E6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'Haltungen'!$L$18</f>
            </numRef>
          </val>
        </ser>
        <dLbls>
          <numFmt formatCode="#,##0;-#,##0;&quot;&quot;"/>
          <txPr>
            <a:bodyPr/>
            <a:p>
              <a:pPr>
                <a:defRPr sz="700" b="1"/>
              </a:pPr>
              <a:r>
                <a:t/>
              </a:r>
              <a:endParaRPr sz="700" b="1"/>
            </a:p>
          </txPr>
          <showLegendKey val="0"/>
          <showVal val="1"/>
          <showCatName val="0"/>
          <showSerName val="0"/>
        </dLbls>
        <gapWidth val="2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Eigentümer</a:t>
            </a:r>
          </a:p>
        </rich>
      </tx>
    </title>
    <plotArea>
      <barChart>
        <barDir val="bar"/>
        <grouping val="percentStacked"/>
        <ser>
          <idx val="0"/>
          <order val="0"/>
          <spPr>
            <a:solidFill>
              <a:srgbClr val="548235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'Haltungen'!$E$17</f>
            </numRef>
          </val>
        </ser>
        <ser>
          <idx val="1"/>
          <order val="1"/>
          <spPr>
            <a:solidFill>
              <a:srgbClr val="FFFF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'Haltungen'!$E$18</f>
            </numRef>
          </val>
        </ser>
        <ser>
          <idx val="2"/>
          <order val="2"/>
          <spPr>
            <a:solidFill>
              <a:srgbClr val="FF80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'Haltungen'!$E$19</f>
            </numRef>
          </val>
        </ser>
        <ser>
          <idx val="3"/>
          <order val="3"/>
          <spPr>
            <a:solidFill>
              <a:srgbClr val="00B0F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'Haltungen'!$E$20</f>
            </numRef>
          </val>
        </ser>
        <ser>
          <idx val="4"/>
          <order val="4"/>
          <spPr>
            <a:solidFill>
              <a:srgbClr val="FF00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'Haltungen'!$E$21</f>
            </numRef>
          </val>
        </ser>
        <dLbls>
          <numFmt formatCode="#,##0;-#,##0;&quot;&quot;"/>
          <txPr>
            <a:bodyPr/>
            <a:p>
              <a:pPr>
                <a:defRPr sz="700" b="1"/>
              </a:pPr>
              <a:r>
                <a:t/>
              </a:r>
              <a:endParaRPr sz="700" b="1"/>
            </a:p>
          </txPr>
          <showLegendKey val="0"/>
          <showVal val="1"/>
          <showCatName val="0"/>
          <showSerName val="0"/>
        </dLbls>
        <gapWidth val="2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Ausgeführt durch</a:t>
            </a:r>
          </a:p>
        </rich>
      </tx>
    </title>
    <plotArea>
      <barChart>
        <barDir val="bar"/>
        <grouping val="percentStacked"/>
        <ser>
          <idx val="0"/>
          <order val="0"/>
          <spPr>
            <a:solidFill>
              <a:srgbClr val="548235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'Haltungen'!$N$17</f>
            </numRef>
          </val>
        </ser>
        <ser>
          <idx val="1"/>
          <order val="1"/>
          <spPr>
            <a:solidFill>
              <a:srgbClr val="BF8F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'Haltungen'!$N$18</f>
            </numRef>
          </val>
        </ser>
        <ser>
          <idx val="2"/>
          <order val="2"/>
          <spPr>
            <a:solidFill>
              <a:srgbClr val="00B0F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'Haltungen'!$N$19</f>
            </numRef>
          </val>
        </ser>
        <ser>
          <idx val="3"/>
          <order val="3"/>
          <spPr>
            <a:solidFill>
              <a:srgbClr val="7030A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'Haltungen'!$N$20</f>
            </numRef>
          </val>
        </ser>
        <ser>
          <idx val="4"/>
          <order val="4"/>
          <spPr>
            <a:solidFill>
              <a:srgbClr val="D6DCE4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'Haltungen'!$N$21</f>
            </numRef>
          </val>
        </ser>
        <dLbls>
          <numFmt formatCode="#,##0;-#,##0;&quot;&quot;"/>
          <txPr>
            <a:bodyPr/>
            <a:p>
              <a:pPr>
                <a:defRPr sz="700" b="1"/>
              </a:pPr>
              <a:r>
                <a:t/>
              </a:r>
              <a:endParaRPr sz="700" b="1"/>
            </a:p>
          </txPr>
          <showLegendKey val="0"/>
          <showVal val="1"/>
          <showCatName val="0"/>
          <showSerName val="0"/>
        </dLbls>
        <gapWidth val="2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Sanierungsstatus</a:t>
            </a:r>
          </a:p>
        </rich>
      </tx>
    </title>
    <plotArea>
      <barChart>
        <barDir val="bar"/>
        <grouping val="percentStacked"/>
        <ser>
          <idx val="0"/>
          <order val="0"/>
          <spPr>
            <a:solidFill>
              <a:srgbClr val="FF000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'Haltungen'!$AA$17</f>
            </numRef>
          </val>
        </ser>
        <ser>
          <idx val="1"/>
          <order val="1"/>
          <spPr>
            <a:solidFill>
              <a:srgbClr val="00B050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'Haltungen'!$AA$18</f>
            </numRef>
          </val>
        </ser>
        <ser>
          <idx val="2"/>
          <order val="2"/>
          <spPr>
            <a:solidFill>
              <a:srgbClr val="D6DCE4"/>
            </a:solidFill>
            <a:ln w="9525">
              <a:solidFill>
                <a:srgbClr val="FFFFFF"/>
              </a:solidFill>
              <a:prstDash val="solid"/>
            </a:ln>
          </spPr>
          <val>
            <numRef>
              <f>'Haltungen'!$AA$19</f>
            </numRef>
          </val>
        </ser>
        <dLbls>
          <numFmt formatCode="#,##0;-#,##0;&quot;&quot;"/>
          <txPr>
            <a:bodyPr/>
            <a:p>
              <a:pPr>
                <a:defRPr sz="700" b="1"/>
              </a:pPr>
              <a:r>
                <a:t/>
              </a:r>
              <a:endParaRPr sz="700" b="1"/>
            </a:p>
          </txPr>
          <showLegendKey val="0"/>
          <showVal val="1"/>
          <showCatName val="0"/>
          <showSerName val="0"/>
        </dLbls>
        <gapWidth val="20"/>
        <overlap val="10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Rohrmaterial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A6A6A6"/>
              </a:solidFill>
              <a:ln>
                <a:prstDash val="solid"/>
              </a:ln>
            </spPr>
          </dPt>
          <dPt>
            <idx val="1"/>
            <spPr>
              <a:solidFill>
                <a:srgbClr val="3F3F46"/>
              </a:solidFill>
              <a:ln>
                <a:prstDash val="solid"/>
              </a:ln>
            </spPr>
          </dPt>
          <dPt>
            <idx val="2"/>
            <spPr>
              <a:solidFill>
                <a:srgbClr val="80808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6600"/>
              </a:solidFill>
              <a:ln>
                <a:prstDash val="solid"/>
              </a:ln>
            </spPr>
          </dPt>
          <dPt>
            <idx val="4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5"/>
            <spPr>
              <a:solidFill>
                <a:srgbClr val="D6DCE4"/>
              </a:solidFill>
              <a:ln>
                <a:prstDash val="solid"/>
              </a:ln>
            </spPr>
          </dPt>
          <cat>
            <strRef>
              <f>'Haltungen'!$F$17:$F$22</f>
            </strRef>
          </cat>
          <val>
            <numRef>
              <f>'Haltungen'!$G$17:$G$22</f>
            </numRef>
          </val>
        </ser>
        <dLbls>
          <numFmt formatCode="#,##0;-#,##0;&quot;&quot;"/>
          <txPr>
            <a:bodyPr/>
            <a:p>
              <a:pPr>
                <a:defRPr sz="700" b="0"/>
              </a:pPr>
              <a:r>
                <a:t/>
              </a:r>
              <a:endParaRPr sz="700" b="0"/>
            </a:p>
          </txPr>
          <showLegendKey val="0"/>
          <showVal val="1"/>
          <showCatName val="0"/>
          <showSerName val="0"/>
          <showPercent val="0"/>
          <showBubbleSize val="0"/>
        </dLbls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 b="0"/>
            </a:pPr>
            <a:r>
              <a:t/>
            </a:r>
            <a:endParaRPr sz="700" b="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900" b="1"/>
            </a:pPr>
            <a:r>
              <a:rPr sz="900" b="1"/>
              <a:t>Kosten nach Eigentümer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548235"/>
              </a:solidFill>
              <a:ln>
                <a:prstDash val="solid"/>
              </a:ln>
            </spPr>
          </dPt>
          <dPt>
            <idx val="1"/>
            <spPr>
              <a:solidFill>
                <a:srgbClr val="FFFF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8000"/>
              </a:solidFill>
              <a:ln>
                <a:prstDash val="solid"/>
              </a:ln>
            </spPr>
          </dPt>
          <dPt>
            <idx val="3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spPr>
              <a:solidFill>
                <a:srgbClr val="FF0000"/>
              </a:solidFill>
              <a:ln>
                <a:prstDash val="solid"/>
              </a:ln>
            </spPr>
          </dPt>
          <cat>
            <strRef>
              <f>'Haltungen'!$D$17:$D$21</f>
            </strRef>
          </cat>
          <val>
            <numRef>
              <f>'Haltungen'!$R$17:$R$21</f>
            </numRef>
          </val>
        </ser>
        <dLbls>
          <numFmt formatCode="#,##0 &quot;CHF&quot;;;&quot;&quot;"/>
          <txPr>
            <a:bodyPr/>
            <a:p>
              <a:pPr>
                <a:defRPr sz="700" b="0"/>
              </a:pPr>
              <a:r>
                <a:t/>
              </a:r>
              <a:endParaRPr sz="700" b="0"/>
            </a:p>
          </txPr>
          <showLegendKey val="0"/>
          <showVal val="1"/>
          <showCatName val="0"/>
          <showSerName val="0"/>
          <showPercent val="0"/>
          <showBubbleSize val="0"/>
        </dLbls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700" b="0"/>
            </a:pPr>
            <a:r>
              <a:t/>
            </a:r>
            <a:endParaRPr sz="700" b="0"/>
          </a:p>
        </txPr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image" Target="/xl/media/image1.png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3024000" y="72000"/>
    <ext cx="4680000" cy="55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  <absoluteAnchor>
    <pos x="3024000" y="630000"/>
    <ext cx="4680000" cy="55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absoluteAnchor>
  <absoluteAnchor>
    <pos x="3024000" y="1188000"/>
    <ext cx="4680000" cy="55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absoluteAnchor>
  <absoluteAnchor>
    <pos x="3024000" y="1746000"/>
    <ext cx="4680000" cy="55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absoluteAnchor>
  <absoluteAnchor>
    <pos x="3024000" y="2304000"/>
    <ext cx="4680000" cy="558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absoluteAnchor>
  <absoluteAnchor>
    <pos x="7848000" y="72000"/>
    <ext cx="3600000" cy="279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absoluteAnchor>
  <absoluteAnchor>
    <pos x="11556000" y="72000"/>
    <ext cx="3600000" cy="279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absoluteAnchor>
  <absoluteAnchor>
    <pos x="216000" y="54000"/>
    <ext cx="2015999" cy="830836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AA27"/>
  <sheetViews>
    <sheetView showGridLines="0" topLeftCell="A1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6" customWidth="1" min="4" max="4"/>
    <col width="8" customWidth="1" min="5" max="5"/>
    <col width="17" customWidth="1" min="6" max="6"/>
    <col width="11" customWidth="1" min="7" max="7"/>
    <col width="17" customWidth="1" min="8" max="8"/>
    <col width="40" customWidth="1" min="9" max="9"/>
    <col width="12" customWidth="1" min="10" max="10"/>
    <col width="14" customWidth="1" min="11" max="11"/>
    <col width="9" customWidth="1" min="12" max="12"/>
    <col width="34" customWidth="1" min="13" max="13"/>
    <col width="13" customWidth="1" min="14" max="14"/>
    <col width="12" customWidth="1" min="15" max="15"/>
    <col width="16" customWidth="1" min="16" max="16"/>
    <col width="22" customWidth="1" min="17" max="17"/>
    <col width="11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14" customWidth="1" min="26" max="26"/>
    <col width="12" customWidth="1" min="27" max="27"/>
  </cols>
  <sheetData>
    <row r="1" ht="18" customHeight="1"/>
    <row r="2" ht="18" customHeight="1"/>
    <row r="3" ht="18" customHeight="1"/>
    <row r="4" ht="18" customHeight="1"/>
    <row r="5" ht="18" customHeight="1">
      <c r="A5" s="1" t="inlineStr">
        <is>
          <t>Ausgeführt durch  –  Farbe der Spalte NR.</t>
        </is>
      </c>
      <c r="B5" s="2" t="n"/>
      <c r="C5" s="2" t="n"/>
    </row>
    <row r="6" ht="18" customHeight="1">
      <c r="A6" s="3" t="inlineStr">
        <is>
          <t>Nr.</t>
        </is>
      </c>
      <c r="B6" s="4" t="inlineStr">
        <is>
          <t>Abwasser Uri</t>
        </is>
      </c>
      <c r="C6" s="5" t="n"/>
    </row>
    <row r="7" ht="18" customHeight="1">
      <c r="A7" s="6" t="inlineStr">
        <is>
          <t>Nr.</t>
        </is>
      </c>
      <c r="B7" s="4" t="inlineStr">
        <is>
          <t>Kanalsanierer</t>
        </is>
      </c>
      <c r="C7" s="5" t="n"/>
    </row>
    <row r="8" ht="18" customHeight="1">
      <c r="A8" s="7" t="inlineStr">
        <is>
          <t>Nr.</t>
        </is>
      </c>
      <c r="B8" s="4" t="inlineStr">
        <is>
          <t>Baumeister</t>
        </is>
      </c>
      <c r="C8" s="5" t="n"/>
    </row>
    <row r="9" ht="18" customHeight="1">
      <c r="A9" s="8" t="inlineStr">
        <is>
          <t>Nr.</t>
        </is>
      </c>
      <c r="B9" s="4" t="inlineStr">
        <is>
          <t>Gartenbauer</t>
        </is>
      </c>
      <c r="C9" s="5" t="n"/>
    </row>
    <row r="10" ht="18" customHeight="1"/>
    <row r="11" ht="18" customHeight="1"/>
    <row r="12" ht="18" customHeight="1"/>
    <row r="13" ht="18" customHeight="1"/>
    <row r="14" ht="18" customHeight="1"/>
    <row r="15" ht="5" customHeight="1"/>
    <row r="16" ht="20" customHeight="1">
      <c r="A16" s="9" t="inlineStr">
        <is>
          <t>Zustandsklasse</t>
        </is>
      </c>
      <c r="B16" s="10" t="n"/>
      <c r="C16" s="10" t="n"/>
      <c r="D16" s="9" t="inlineStr">
        <is>
          <t>Eigentümer</t>
        </is>
      </c>
      <c r="E16" s="10" t="n"/>
      <c r="F16" s="9" t="inlineStr">
        <is>
          <t>Rohrmaterial</t>
        </is>
      </c>
      <c r="G16" s="10" t="n"/>
      <c r="H16" s="9" t="inlineStr">
        <is>
          <t>Prüfungsresultat</t>
        </is>
      </c>
      <c r="I16" s="10" t="n"/>
      <c r="J16" s="10" t="n"/>
      <c r="K16" s="9" t="inlineStr">
        <is>
          <t>Sanieren</t>
        </is>
      </c>
      <c r="L16" s="10" t="n"/>
      <c r="M16" s="9" t="inlineStr">
        <is>
          <t>Ausgeführt durch  (färbt Spalte NR.)</t>
        </is>
      </c>
      <c r="N16" s="10" t="n"/>
      <c r="O16" s="9" t="inlineStr">
        <is>
          <t>Kosten nach Eigentümer</t>
        </is>
      </c>
      <c r="P16" s="10" t="n"/>
      <c r="Q16" s="10" t="n"/>
      <c r="R16" s="10" t="n"/>
      <c r="S16" s="9" t="inlineStr">
        <is>
          <t>Ausmass Sanierungsmassnahmen (Total)</t>
        </is>
      </c>
      <c r="T16" s="10" t="n"/>
      <c r="U16" s="10" t="n"/>
      <c r="V16" s="10" t="n"/>
      <c r="W16" s="10" t="n"/>
      <c r="X16" s="10" t="n"/>
      <c r="Y16" s="10" t="n"/>
      <c r="Z16" s="9" t="inlineStr">
        <is>
          <t>Sanierungsstatus</t>
        </is>
      </c>
      <c r="AA16" s="10" t="n"/>
    </row>
    <row r="17" ht="16" customHeight="1">
      <c r="A17" s="11" t="inlineStr">
        <is>
          <t>0  sofort</t>
        </is>
      </c>
      <c r="B17" s="2" t="n"/>
      <c r="C17" s="12">
        <f>COUNTIF('Haltungen'!$J$27:$J$5000,"0")</f>
        <v/>
      </c>
      <c r="D17" s="13" t="inlineStr">
        <is>
          <t>Abwasser Uri</t>
        </is>
      </c>
      <c r="E17" s="12">
        <f>COUNTIF('Haltungen'!$O$27:$O$5000,"Abwasser Uri")+COUNTIF('Haltungen'!$O$27:$O$5000,"AWU")+COUNTIF('Haltungen'!$O$27:$O$5000,"AWU_von_oeffentlich")+COUNTIF('Haltungen'!$O$27:$O$5000,"AWU_von_oeffentlich (Abwasserverband)")+COUNTIF('Haltungen'!$O$27:$O$5000,"AWU_von_privat")+COUNTIF('Haltungen'!$O$27:$O$5000,"AWU_von_privat (Abwasserverband)")</f>
        <v/>
      </c>
      <c r="F17" s="14" t="inlineStr">
        <is>
          <t>Zement</t>
        </is>
      </c>
      <c r="G17" s="12">
        <f>COUNTIF('Haltungen'!$D$27:$D$5000,"Zement")</f>
        <v/>
      </c>
      <c r="H17" s="15" t="inlineStr">
        <is>
          <t>i.O. / Prüfung bestanden</t>
        </is>
      </c>
      <c r="I17" s="2" t="n"/>
      <c r="J17" s="12">
        <f>COUNTIF('Haltungen'!$K$27:$K$5000,"i.O.")+COUNTIF('Haltungen'!$K$27:$K$5000,"Prüfung bestanden")+COUNTIF('Haltungen'!$K$27:$K$5000,"Pruefung bestanden")</f>
        <v/>
      </c>
      <c r="K17" s="15" t="inlineStr">
        <is>
          <t>Ja</t>
        </is>
      </c>
      <c r="L17" s="12">
        <f>COUNTIF('Haltungen'!$L$27:$L$5000,"Ja")</f>
        <v/>
      </c>
      <c r="M17" s="13" t="inlineStr">
        <is>
          <t>Abwasser Uri</t>
        </is>
      </c>
      <c r="N17" s="12">
        <f>COUNTIF('Haltungen'!$P$27:$P$5000,"Abwasser Uri")</f>
        <v/>
      </c>
      <c r="O17" s="16" t="inlineStr">
        <is>
          <t>Total Abwasser Uri</t>
        </is>
      </c>
      <c r="P17" s="2" t="n"/>
      <c r="Q17" s="2" t="n"/>
      <c r="R17" s="17">
        <f>SUMIF('Haltungen'!$O$27:$O$5000,"Abwasser Uri",'Haltungen'!$N$27:$N$5000)+SUMIF('Haltungen'!$O$27:$O$5000,"AWU",'Haltungen'!$N$27:$N$5000)+SUMIF('Haltungen'!$O$27:$O$5000,"AWU_von_oeffentlich",'Haltungen'!$N$27:$N$5000)+SUMIF('Haltungen'!$O$27:$O$5000,"AWU_von_oeffentlich (Abwasserverband)",'Haltungen'!$N$27:$N$5000)+SUMIF('Haltungen'!$O$27:$O$5000,"AWU_von_privat",'Haltungen'!$N$27:$N$5000)+SUMIF('Haltungen'!$O$27:$O$5000,"AWU_von_privat (Abwasserverband)",'Haltungen'!$N$27:$N$5000)</f>
        <v/>
      </c>
      <c r="S17" s="16" t="inlineStr">
        <is>
          <t>Renovierung Inliner Stk.</t>
        </is>
      </c>
      <c r="T17" s="2" t="n"/>
      <c r="U17" s="2" t="n"/>
      <c r="V17" s="18">
        <f>SUM('Haltungen'!$S$27:$S$5000)</f>
        <v/>
      </c>
      <c r="W17" s="2" t="n"/>
      <c r="X17" s="2" t="n"/>
      <c r="Y17" s="2" t="n"/>
      <c r="Z17" s="11" t="inlineStr">
        <is>
          <t>offen</t>
        </is>
      </c>
      <c r="AA17" s="12">
        <f>COUNTIF('Haltungen'!$Z$27:$Z$5000,"offen")</f>
        <v/>
      </c>
    </row>
    <row r="18" ht="16" customHeight="1">
      <c r="A18" s="19" t="inlineStr">
        <is>
          <t>1  kurzfristig</t>
        </is>
      </c>
      <c r="B18" s="2" t="n"/>
      <c r="C18" s="12">
        <f>COUNTIF('Haltungen'!$J$27:$J$5000,"1")</f>
        <v/>
      </c>
      <c r="D18" s="20" t="inlineStr">
        <is>
          <t>Kanton Uri</t>
        </is>
      </c>
      <c r="E18" s="12">
        <f>COUNTIF('Haltungen'!$O$27:$O$5000,"Kanton Uri")+COUNTIF('Haltungen'!$O$27:$O$5000,"Kanton")+COUNTIF('Haltungen'!$O$27:$O$5000,"Kanton Uri (Kanton)")</f>
        <v/>
      </c>
      <c r="F18" s="21" t="inlineStr">
        <is>
          <t>Polyethylen</t>
        </is>
      </c>
      <c r="G18" s="12">
        <f>COUNTIF('Haltungen'!$D$27:$D$5000,"Polyethylen")</f>
        <v/>
      </c>
      <c r="H18" s="20" t="inlineStr">
        <is>
          <t>beobachten / Prüfung knapp nicht bestanden</t>
        </is>
      </c>
      <c r="I18" s="2" t="n"/>
      <c r="J18" s="12">
        <f>COUNTIF('Haltungen'!$K$27:$K$5000,"beobachten")+COUNTIF('Haltungen'!$K$27:$K$5000,"Prüfung knapp nicht bestanden")+COUNTIF('Haltungen'!$K$27:$K$5000,"Pruefung knapp nicht bestanden")</f>
        <v/>
      </c>
      <c r="K18" s="22" t="inlineStr">
        <is>
          <t>Nein</t>
        </is>
      </c>
      <c r="L18" s="12">
        <f>COUNTIF('Haltungen'!$L$27:$L$5000,"Nein")</f>
        <v/>
      </c>
      <c r="M18" s="23" t="inlineStr">
        <is>
          <t>Kanalsanierer</t>
        </is>
      </c>
      <c r="N18" s="12">
        <f>COUNTIF('Haltungen'!$P$27:$P$5000,"Kanalsanierer")</f>
        <v/>
      </c>
      <c r="O18" s="16" t="inlineStr">
        <is>
          <t>Total Kanton Uri</t>
        </is>
      </c>
      <c r="P18" s="2" t="n"/>
      <c r="Q18" s="2" t="n"/>
      <c r="R18" s="17">
        <f>SUMIF('Haltungen'!$O$27:$O$5000,"Kanton Uri",'Haltungen'!$N$27:$N$5000)+SUMIF('Haltungen'!$O$27:$O$5000,"Kanton",'Haltungen'!$N$27:$N$5000)+SUMIF('Haltungen'!$O$27:$O$5000,"Kanton Uri (Kanton)",'Haltungen'!$N$27:$N$5000)</f>
        <v/>
      </c>
      <c r="S18" s="16" t="inlineStr">
        <is>
          <t>Renovierung Inliner m</t>
        </is>
      </c>
      <c r="T18" s="2" t="n"/>
      <c r="U18" s="2" t="n"/>
      <c r="V18" s="18">
        <f>SUM('Haltungen'!$T$27:$T$5000)</f>
        <v/>
      </c>
      <c r="W18" s="2" t="n"/>
      <c r="X18" s="2" t="n"/>
      <c r="Y18" s="2" t="n"/>
      <c r="Z18" s="24" t="inlineStr">
        <is>
          <t>abgeschlossen</t>
        </is>
      </c>
      <c r="AA18" s="12">
        <f>COUNTIF('Haltungen'!$Z$27:$Z$5000,"abgeschlossen")</f>
        <v/>
      </c>
    </row>
    <row r="19" ht="16" customHeight="1">
      <c r="A19" s="20" t="inlineStr">
        <is>
          <t>2  mittelfristig</t>
        </is>
      </c>
      <c r="B19" s="2" t="n"/>
      <c r="C19" s="12">
        <f>COUNTIF('Haltungen'!$J$27:$J$5000,"2")</f>
        <v/>
      </c>
      <c r="D19" s="25" t="inlineStr">
        <is>
          <t>Bund</t>
        </is>
      </c>
      <c r="E19" s="12">
        <f>COUNTIF('Haltungen'!$O$27:$O$5000,"Bund")+COUNTIF('Haltungen'!$O$27:$O$5000,"Bund Astra")+COUNTIF('Haltungen'!$O$27:$O$5000,"Bund Astra (Bund)")+COUNTIF('Haltungen'!$O$27:$O$5000,"Bund (Bund)")</f>
        <v/>
      </c>
      <c r="F19" s="26" t="inlineStr">
        <is>
          <t>Beton</t>
        </is>
      </c>
      <c r="G19" s="12">
        <f>COUNTIF('Haltungen'!$D$27:$D$5000,"Beton")</f>
        <v/>
      </c>
      <c r="H19" s="11" t="inlineStr">
        <is>
          <t>Sanierungsbedarf / Prüfung nicht bestanden</t>
        </is>
      </c>
      <c r="I19" s="2" t="n"/>
      <c r="J19" s="12">
        <f>COUNTIF('Haltungen'!$K$27:$K$5000,"Sanierungsbedarf")+COUNTIF('Haltungen'!$K$27:$K$5000,"Prüfung nicht bestanden (grob undicht)")+COUNTIF('Haltungen'!$K$27:$K$5000,"Pruefung nicht bestanden (grob undicht)")</f>
        <v/>
      </c>
      <c r="K19" s="5" t="n"/>
      <c r="L19" s="5" t="n"/>
      <c r="M19" s="27" t="inlineStr">
        <is>
          <t>Baumeister</t>
        </is>
      </c>
      <c r="N19" s="12">
        <f>COUNTIF('Haltungen'!$P$27:$P$5000,"Baumeister")</f>
        <v/>
      </c>
      <c r="O19" s="16" t="inlineStr">
        <is>
          <t>Total Bund</t>
        </is>
      </c>
      <c r="P19" s="2" t="n"/>
      <c r="Q19" s="2" t="n"/>
      <c r="R19" s="17">
        <f>SUMIF('Haltungen'!$O$27:$O$5000,"Bund",'Haltungen'!$N$27:$N$5000)+SUMIF('Haltungen'!$O$27:$O$5000,"Bund Astra",'Haltungen'!$N$27:$N$5000)+SUMIF('Haltungen'!$O$27:$O$5000,"Bund Astra (Bund)",'Haltungen'!$N$27:$N$5000)+SUMIF('Haltungen'!$O$27:$O$5000,"Bund (Bund)",'Haltungen'!$N$27:$N$5000)</f>
        <v/>
      </c>
      <c r="S19" s="16" t="inlineStr">
        <is>
          <t>Anschlüsse verpressen</t>
        </is>
      </c>
      <c r="T19" s="2" t="n"/>
      <c r="U19" s="2" t="n"/>
      <c r="V19" s="18">
        <f>SUM('Haltungen'!$U$27:$U$5000)</f>
        <v/>
      </c>
      <c r="W19" s="2" t="n"/>
      <c r="X19" s="2" t="n"/>
      <c r="Y19" s="2" t="n"/>
      <c r="Z19" s="28" t="inlineStr">
        <is>
          <t>noch nicht erfasst</t>
        </is>
      </c>
      <c r="AA19" s="12">
        <f>COUNTA('Haltungen'!$B$27:$B$5000)-COUNTA('Haltungen'!$Z$27:$Z$5000)</f>
        <v/>
      </c>
    </row>
    <row r="20" ht="16" customHeight="1">
      <c r="A20" s="29" t="inlineStr">
        <is>
          <t>3  langfristig</t>
        </is>
      </c>
      <c r="B20" s="2" t="n"/>
      <c r="C20" s="12">
        <f>COUNTIF('Haltungen'!$J$27:$J$5000,"3")</f>
        <v/>
      </c>
      <c r="D20" s="27" t="inlineStr">
        <is>
          <t>Gemeinde</t>
        </is>
      </c>
      <c r="E20" s="12">
        <f>COUNTIF('Haltungen'!$O$27:$O$5000,"Gemeinde")+COUNTIF('Haltungen'!$O$27:$O$5000,"Altdorf")+COUNTIF('Haltungen'!$O$27:$O$5000,"Altdorf (Gemeinde)")+COUNTIF('Haltungen'!$O$27:$O$5000,"Bürglen")+COUNTIF('Haltungen'!$O$27:$O$5000,"Bürglen (Gemeinde)")+COUNTIF('Haltungen'!$O$27:$O$5000,"Schattdorf")+COUNTIF('Haltungen'!$O$27:$O$5000,"Schattdorf (Gemeinde)")+COUNTIF('Haltungen'!$O$27:$O$5000,"Andermatt")+COUNTIF('Haltungen'!$O$27:$O$5000,"Andermatt (Gemeinde)")+COUNTIF('Haltungen'!$O$27:$O$5000,"Attinghausen")+COUNTIF('Haltungen'!$O$27:$O$5000,"Attinghausen (Gemeinde)")+COUNTIF('Haltungen'!$O$27:$O$5000,"Erstfeld")+COUNTIF('Haltungen'!$O$27:$O$5000,"Erstfeld (Gemeinde)")+COUNTIF('Haltungen'!$O$27:$O$5000,"Flüelen")+COUNTIF('Haltungen'!$O$27:$O$5000,"Flüelen (Gemeinde)")+COUNTIF('Haltungen'!$O$27:$O$5000,"Göschenen")+COUNTIF('Haltungen'!$O$27:$O$5000,"Göschenen (Gemeinde)")+COUNTIF('Haltungen'!$O$27:$O$5000,"Gurtnellen")+COUNTIF('Haltungen'!$O$27:$O$5000,"Gurtnellen (Gemeinde)")+COUNTIF('Haltungen'!$O$27:$O$5000,"Hospental")+COUNTIF('Haltungen'!$O$27:$O$5000,"Hospental (Gemeinde)")+COUNTIF('Haltungen'!$O$27:$O$5000,"Isenthal")+COUNTIF('Haltungen'!$O$27:$O$5000,"Isenthal (Gemeinde)")+COUNTIF('Haltungen'!$O$27:$O$5000,"Realp")+COUNTIF('Haltungen'!$O$27:$O$5000,"Realp (Gemeinde)")+COUNTIF('Haltungen'!$O$27:$O$5000,"Seedorf")+COUNTIF('Haltungen'!$O$27:$O$5000,"Seedorf (Gemeinde)")+COUNTIF('Haltungen'!$O$27:$O$5000,"Seelisberg")+COUNTIF('Haltungen'!$O$27:$O$5000,"Seelisberg (Gemeinde)")+COUNTIF('Haltungen'!$O$27:$O$5000,"Silenen")+COUNTIF('Haltungen'!$O$27:$O$5000,"Silenen (Gemeinde)")+COUNTIF('Haltungen'!$O$27:$O$5000,"Sisikon")+COUNTIF('Haltungen'!$O$27:$O$5000,"Sisikon (Gemeinde)")+COUNTIF('Haltungen'!$O$27:$O$5000,"Spiringen")+COUNTIF('Haltungen'!$O$27:$O$5000,"Spiringen (Gemeinde)")+COUNTIF('Haltungen'!$O$27:$O$5000,"Unterschächen")+COUNTIF('Haltungen'!$O$27:$O$5000,"Unterschächen (Gemeinde)")+COUNTIF('Haltungen'!$O$27:$O$5000,"Wassen")+COUNTIF('Haltungen'!$O$27:$O$5000,"Wassen (Gemeinde)")</f>
        <v/>
      </c>
      <c r="F20" s="19" t="inlineStr">
        <is>
          <t>Polyvinylchlorid</t>
        </is>
      </c>
      <c r="G20" s="12">
        <f>COUNTIF('Haltungen'!$D$27:$D$5000,"Polyvinylchlorid")</f>
        <v/>
      </c>
      <c r="H20" s="22" t="inlineStr">
        <is>
          <t>Keine</t>
        </is>
      </c>
      <c r="I20" s="2" t="n"/>
      <c r="J20" s="12">
        <f>COUNTIF('Haltungen'!$K$27:$K$5000,"Keine")</f>
        <v/>
      </c>
      <c r="K20" s="5" t="n"/>
      <c r="L20" s="5" t="n"/>
      <c r="M20" s="30" t="inlineStr">
        <is>
          <t>Gartenbauer</t>
        </is>
      </c>
      <c r="N20" s="12">
        <f>COUNTIF('Haltungen'!$P$27:$P$5000,"Gartenbauer")</f>
        <v/>
      </c>
      <c r="O20" s="16" t="inlineStr">
        <is>
          <t>Total Gemeinde</t>
        </is>
      </c>
      <c r="P20" s="2" t="n"/>
      <c r="Q20" s="2" t="n"/>
      <c r="R20" s="17">
        <f>SUMIF('Haltungen'!$O$27:$O$5000,"Gemeinde",'Haltungen'!$N$27:$N$5000)+SUMIF('Haltungen'!$O$27:$O$5000,"Altdorf",'Haltungen'!$N$27:$N$5000)+SUMIF('Haltungen'!$O$27:$O$5000,"Altdorf (Gemeinde)",'Haltungen'!$N$27:$N$5000)+SUMIF('Haltungen'!$O$27:$O$5000,"Bürglen",'Haltungen'!$N$27:$N$5000)+SUMIF('Haltungen'!$O$27:$O$5000,"Bürglen (Gemeinde)",'Haltungen'!$N$27:$N$5000)+SUMIF('Haltungen'!$O$27:$O$5000,"Schattdorf",'Haltungen'!$N$27:$N$5000)+SUMIF('Haltungen'!$O$27:$O$5000,"Schattdorf (Gemeinde)",'Haltungen'!$N$27:$N$5000)+SUMIF('Haltungen'!$O$27:$O$5000,"Andermatt",'Haltungen'!$N$27:$N$5000)+SUMIF('Haltungen'!$O$27:$O$5000,"Andermatt (Gemeinde)",'Haltungen'!$N$27:$N$5000)+SUMIF('Haltungen'!$O$27:$O$5000,"Attinghausen",'Haltungen'!$N$27:$N$5000)+SUMIF('Haltungen'!$O$27:$O$5000,"Attinghausen (Gemeinde)",'Haltungen'!$N$27:$N$5000)+SUMIF('Haltungen'!$O$27:$O$5000,"Erstfeld",'Haltungen'!$N$27:$N$5000)+SUMIF('Haltungen'!$O$27:$O$5000,"Erstfeld (Gemeinde)",'Haltungen'!$N$27:$N$5000)+SUMIF('Haltungen'!$O$27:$O$5000,"Flüelen",'Haltungen'!$N$27:$N$5000)+SUMIF('Haltungen'!$O$27:$O$5000,"Flüelen (Gemeinde)",'Haltungen'!$N$27:$N$5000)+SUMIF('Haltungen'!$O$27:$O$5000,"Göschenen",'Haltungen'!$N$27:$N$5000)+SUMIF('Haltungen'!$O$27:$O$5000,"Göschenen (Gemeinde)",'Haltungen'!$N$27:$N$5000)+SUMIF('Haltungen'!$O$27:$O$5000,"Gurtnellen",'Haltungen'!$N$27:$N$5000)+SUMIF('Haltungen'!$O$27:$O$5000,"Gurtnellen (Gemeinde)",'Haltungen'!$N$27:$N$5000)+SUMIF('Haltungen'!$O$27:$O$5000,"Hospental",'Haltungen'!$N$27:$N$5000)+SUMIF('Haltungen'!$O$27:$O$5000,"Hospental (Gemeinde)",'Haltungen'!$N$27:$N$5000)+SUMIF('Haltungen'!$O$27:$O$5000,"Isenthal",'Haltungen'!$N$27:$N$5000)+SUMIF('Haltungen'!$O$27:$O$5000,"Isenthal (Gemeinde)",'Haltungen'!$N$27:$N$5000)+SUMIF('Haltungen'!$O$27:$O$5000,"Realp",'Haltungen'!$N$27:$N$5000)+SUMIF('Haltungen'!$O$27:$O$5000,"Realp (Gemeinde)",'Haltungen'!$N$27:$N$5000)+SUMIF('Haltungen'!$O$27:$O$5000,"Seedorf",'Haltungen'!$N$27:$N$5000)+SUMIF('Haltungen'!$O$27:$O$5000,"Seedorf (Gemeinde)",'Haltungen'!$N$27:$N$5000)+SUMIF('Haltungen'!$O$27:$O$5000,"Seelisberg",'Haltungen'!$N$27:$N$5000)+SUMIF('Haltungen'!$O$27:$O$5000,"Seelisberg (Gemeinde)",'Haltungen'!$N$27:$N$5000)+SUMIF('Haltungen'!$O$27:$O$5000,"Silenen",'Haltungen'!$N$27:$N$5000)+SUMIF('Haltungen'!$O$27:$O$5000,"Silenen (Gemeinde)",'Haltungen'!$N$27:$N$5000)+SUMIF('Haltungen'!$O$27:$O$5000,"Sisikon",'Haltungen'!$N$27:$N$5000)+SUMIF('Haltungen'!$O$27:$O$5000,"Sisikon (Gemeinde)",'Haltungen'!$N$27:$N$5000)+SUMIF('Haltungen'!$O$27:$O$5000,"Spiringen",'Haltungen'!$N$27:$N$5000)+SUMIF('Haltungen'!$O$27:$O$5000,"Spiringen (Gemeinde)",'Haltungen'!$N$27:$N$5000)+SUMIF('Haltungen'!$O$27:$O$5000,"Unterschächen",'Haltungen'!$N$27:$N$5000)+SUMIF('Haltungen'!$O$27:$O$5000,"Unterschächen (Gemeinde)",'Haltungen'!$N$27:$N$5000)+SUMIF('Haltungen'!$O$27:$O$5000,"Wassen",'Haltungen'!$N$27:$N$5000)+SUMIF('Haltungen'!$O$27:$O$5000,"Wassen (Gemeinde)",'Haltungen'!$N$27:$N$5000)</f>
        <v/>
      </c>
      <c r="S20" s="16" t="inlineStr">
        <is>
          <t>Reparatur Manschette</t>
        </is>
      </c>
      <c r="T20" s="2" t="n"/>
      <c r="U20" s="2" t="n"/>
      <c r="V20" s="18">
        <f>SUM('Haltungen'!$V$27:$V$5000)</f>
        <v/>
      </c>
      <c r="W20" s="2" t="n"/>
      <c r="X20" s="2" t="n"/>
      <c r="Y20" s="2" t="n"/>
      <c r="Z20" s="5" t="n"/>
      <c r="AA20" s="5" t="n"/>
    </row>
    <row r="21" ht="16" customHeight="1">
      <c r="A21" s="15" t="inlineStr">
        <is>
          <t>4  kein Bedarf</t>
        </is>
      </c>
      <c r="B21" s="2" t="n"/>
      <c r="C21" s="12">
        <f>COUNTIF('Haltungen'!$J$27:$J$5000,"4")</f>
        <v/>
      </c>
      <c r="D21" s="11" t="inlineStr">
        <is>
          <t>Privat</t>
        </is>
      </c>
      <c r="E21" s="12">
        <f>COUNTIF('Haltungen'!$O$27:$O$5000,"Privat")+COUNTIF('Haltungen'!$O$27:$O$5000,"Privat (Privat)")+COUNTIF('Haltungen'!$O$27:$O$5000,"RUAG")+COUNTIF('Haltungen'!$O$27:$O$5000,"RUAG (Privat)")</f>
        <v/>
      </c>
      <c r="F21" s="31" t="inlineStr">
        <is>
          <t>Polypropylen</t>
        </is>
      </c>
      <c r="G21" s="12">
        <f>COUNTIF('Haltungen'!$D$27:$D$5000,"Polypropylen")</f>
        <v/>
      </c>
      <c r="H21" s="5" t="n"/>
      <c r="I21" s="5" t="n"/>
      <c r="J21" s="5" t="n"/>
      <c r="K21" s="5" t="n"/>
      <c r="L21" s="5" t="n"/>
      <c r="M21" s="28" t="inlineStr">
        <is>
          <t>noch nicht zugeteilt</t>
        </is>
      </c>
      <c r="N21" s="12">
        <f>COUNTA('Haltungen'!$B$27:$B$5000)-COUNTA('Haltungen'!$P$27:$P$5000)</f>
        <v/>
      </c>
      <c r="O21" s="16" t="inlineStr">
        <is>
          <t>Total Privat</t>
        </is>
      </c>
      <c r="P21" s="2" t="n"/>
      <c r="Q21" s="2" t="n"/>
      <c r="R21" s="17">
        <f>SUMIF('Haltungen'!$O$27:$O$5000,"Privat",'Haltungen'!$N$27:$N$5000)+SUMIF('Haltungen'!$O$27:$O$5000,"Privat (Privat)",'Haltungen'!$N$27:$N$5000)+SUMIF('Haltungen'!$O$27:$O$5000,"RUAG",'Haltungen'!$N$27:$N$5000)+SUMIF('Haltungen'!$O$27:$O$5000,"RUAG (Privat)",'Haltungen'!$N$27:$N$5000)</f>
        <v/>
      </c>
      <c r="S21" s="16" t="inlineStr">
        <is>
          <t>Linerendmanschette LEM</t>
        </is>
      </c>
      <c r="T21" s="2" t="n"/>
      <c r="U21" s="2" t="n"/>
      <c r="V21" s="18">
        <f>SUM('Haltungen'!$W$27:$W$5000)</f>
        <v/>
      </c>
      <c r="W21" s="2" t="n"/>
      <c r="X21" s="2" t="n"/>
      <c r="Y21" s="2" t="n"/>
      <c r="Z21" s="5" t="n"/>
      <c r="AA21" s="5" t="n"/>
    </row>
    <row r="22" ht="16" customHeight="1">
      <c r="A22" s="5" t="n"/>
      <c r="B22" s="5" t="n"/>
      <c r="C22" s="5" t="n"/>
      <c r="D22" s="5" t="n"/>
      <c r="E22" s="5" t="n"/>
      <c r="F22" s="28" t="inlineStr">
        <is>
          <t>übrige</t>
        </is>
      </c>
      <c r="G22" s="12">
        <f>COUNTA('Haltungen'!$D$27:$D$5000)-COUNTIF('Haltungen'!$D$27:$D$5000,"Zement")-COUNTIF('Haltungen'!$D$27:$D$5000,"Polyethylen")-COUNTIF('Haltungen'!$D$27:$D$5000,"Beton")-COUNTIF('Haltungen'!$D$27:$D$5000,"Polyvinylchlorid")-COUNTIF('Haltungen'!$D$27:$D$5000,"Polypropylen")</f>
        <v/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16" t="inlineStr">
        <is>
          <t>Reparatur Kurzliner</t>
        </is>
      </c>
      <c r="T22" s="2" t="n"/>
      <c r="U22" s="2" t="n"/>
      <c r="V22" s="18">
        <f>SUM('Haltungen'!$X$27:$X$5000)</f>
        <v/>
      </c>
      <c r="W22" s="2" t="n"/>
      <c r="X22" s="2" t="n"/>
      <c r="Y22" s="2" t="n"/>
      <c r="Z22" s="5" t="n"/>
      <c r="AA22" s="5" t="n"/>
    </row>
    <row r="23" ht="17" customHeight="1">
      <c r="A23" s="32" t="inlineStr">
        <is>
          <t>Total Haltungen</t>
        </is>
      </c>
      <c r="B23" s="2" t="n"/>
      <c r="C23" s="33">
        <f>COUNTA('Haltungen'!$B$27:$B$5000)</f>
        <v/>
      </c>
      <c r="D23" s="34" t="inlineStr">
        <is>
          <t>Total</t>
        </is>
      </c>
      <c r="E23" s="33">
        <f>COUNTA('Haltungen'!$O$27:$O$5000)</f>
        <v/>
      </c>
      <c r="F23" s="34" t="inlineStr">
        <is>
          <t>Total</t>
        </is>
      </c>
      <c r="G23" s="33">
        <f>COUNTA('Haltungen'!$D$27:$D$5000)</f>
        <v/>
      </c>
      <c r="H23" s="32" t="inlineStr">
        <is>
          <t>Total</t>
        </is>
      </c>
      <c r="I23" s="2" t="n"/>
      <c r="J23" s="33">
        <f>COUNTA('Haltungen'!$K$27:$K$5000)</f>
        <v/>
      </c>
      <c r="K23" s="34" t="inlineStr">
        <is>
          <t>Total</t>
        </is>
      </c>
      <c r="L23" s="33">
        <f>COUNTA('Haltungen'!$L$27:$L$5000)</f>
        <v/>
      </c>
      <c r="M23" s="34" t="inlineStr">
        <is>
          <t>Total</t>
        </is>
      </c>
      <c r="N23" s="33">
        <f>COUNTA('Haltungen'!$B$27:$B$5000)</f>
        <v/>
      </c>
      <c r="O23" s="32" t="inlineStr">
        <is>
          <t>Total gesamt</t>
        </is>
      </c>
      <c r="P23" s="2" t="n"/>
      <c r="Q23" s="2" t="n"/>
      <c r="R23" s="35">
        <f>SUM('Haltungen'!$N$27:$N$5000)</f>
        <v/>
      </c>
      <c r="S23" s="16" t="inlineStr">
        <is>
          <t>Erneuerung Neubau m</t>
        </is>
      </c>
      <c r="T23" s="2" t="n"/>
      <c r="U23" s="2" t="n"/>
      <c r="V23" s="18">
        <f>SUM('Haltungen'!$Y$27:$Y$5000)</f>
        <v/>
      </c>
      <c r="W23" s="2" t="n"/>
      <c r="X23" s="2" t="n"/>
      <c r="Y23" s="2" t="n"/>
      <c r="Z23" s="34" t="inlineStr">
        <is>
          <t>Total</t>
        </is>
      </c>
      <c r="AA23" s="33">
        <f>COUNTA('Haltungen'!$B$27:$B$5000)</f>
        <v/>
      </c>
    </row>
    <row r="24" ht="26" customHeight="1">
      <c r="A24" s="36" t="inlineStr">
        <is>
          <t>Aktuelle Auswahl</t>
        </is>
      </c>
      <c r="B24" s="36" t="n"/>
      <c r="C24" s="37">
        <f>SUBTOTAL(103,$A$27:$A$5000)</f>
        <v/>
      </c>
      <c r="D24" s="36" t="inlineStr">
        <is>
          <t>Länge m</t>
        </is>
      </c>
      <c r="E24" s="38">
        <f>SUBTOTAL(109,$G$27:$G$5000)</f>
        <v/>
      </c>
      <c r="F24" s="36" t="n"/>
      <c r="G24" s="36" t="inlineStr">
        <is>
          <t>Kosten CHF</t>
        </is>
      </c>
      <c r="H24" s="38">
        <f>SUBTOTAL(109,$N$27:$N$5000)</f>
        <v/>
      </c>
    </row>
    <row r="25" ht="30" customHeight="1">
      <c r="A25" s="39" t="inlineStr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1" t="inlineStr">
        <is>
          <t>Ausmass</t>
        </is>
      </c>
      <c r="T25" s="42" t="n"/>
      <c r="U25" s="42" t="n"/>
      <c r="V25" s="42" t="n"/>
      <c r="W25" s="42" t="n"/>
      <c r="X25" s="42" t="n"/>
      <c r="Y25" s="42" t="n"/>
      <c r="Z25" s="41" t="inlineStr">
        <is>
          <t>Status</t>
        </is>
      </c>
      <c r="AA25" s="42" t="n"/>
    </row>
    <row r="26" ht="34" customHeight="1">
      <c r="A26" s="43" t="inlineStr">
        <is>
          <t>NR.</t>
        </is>
      </c>
      <c r="B26" s="43" t="inlineStr">
        <is>
          <t>Haltungsname (ID)</t>
        </is>
      </c>
      <c r="C26" s="43" t="inlineStr">
        <is>
          <t>Strasse</t>
        </is>
      </c>
      <c r="D26" s="43" t="inlineStr">
        <is>
          <t>Rohrmaterial</t>
        </is>
      </c>
      <c r="E26" s="43" t="inlineStr">
        <is>
          <t>DN mm</t>
        </is>
      </c>
      <c r="F26" s="43" t="inlineStr">
        <is>
          <t>Nutzungsart</t>
        </is>
      </c>
      <c r="G26" s="43" t="inlineStr">
        <is>
          <t>Haltungslänge m</t>
        </is>
      </c>
      <c r="H26" s="43" t="inlineStr">
        <is>
          <t>Inspektionsrichtung</t>
        </is>
      </c>
      <c r="I26" s="43" t="inlineStr">
        <is>
          <t>Primäre Schäden</t>
        </is>
      </c>
      <c r="J26" s="43" t="inlineStr">
        <is>
          <t>Zustandsklasse</t>
        </is>
      </c>
      <c r="K26" s="43" t="inlineStr">
        <is>
          <t>Prüfungsresultat</t>
        </is>
      </c>
      <c r="L26" s="43" t="inlineStr">
        <is>
          <t>Sanieren Ja/Nein</t>
        </is>
      </c>
      <c r="M26" s="43" t="inlineStr">
        <is>
          <t>Empfohlene Sanierungsmassnahmen</t>
        </is>
      </c>
      <c r="N26" s="43" t="inlineStr">
        <is>
          <t>Kosten</t>
        </is>
      </c>
      <c r="O26" s="43" t="inlineStr">
        <is>
          <t>Eigentümer</t>
        </is>
      </c>
      <c r="P26" s="43" t="inlineStr">
        <is>
          <t>Ausgeführt durch</t>
        </is>
      </c>
      <c r="Q26" s="43" t="inlineStr">
        <is>
          <t>Bemerkungen</t>
        </is>
      </c>
      <c r="R26" s="43" t="inlineStr">
        <is>
          <t>Link</t>
        </is>
      </c>
      <c r="S26" s="43" t="inlineStr">
        <is>
          <t>Renovierung Inliner Stk.</t>
        </is>
      </c>
      <c r="T26" s="43" t="inlineStr">
        <is>
          <t>Renovierung Inliner m</t>
        </is>
      </c>
      <c r="U26" s="43" t="inlineStr">
        <is>
          <t>Anschlüsse verpressen</t>
        </is>
      </c>
      <c r="V26" s="43" t="inlineStr">
        <is>
          <t>Reparatur Manschette</t>
        </is>
      </c>
      <c r="W26" s="43" t="inlineStr">
        <is>
          <t>Linerendmanschette LEM</t>
        </is>
      </c>
      <c r="X26" s="43" t="inlineStr">
        <is>
          <t>Reparatur Kurzliner</t>
        </is>
      </c>
      <c r="Y26" s="43" t="inlineStr">
        <is>
          <t>Erneuerung Neubau m</t>
        </is>
      </c>
      <c r="Z26" s="43" t="inlineStr">
        <is>
          <t>offen/abgeschlossen</t>
        </is>
      </c>
      <c r="AA26" s="43" t="inlineStr">
        <is>
          <t>Datum/Jahr</t>
        </is>
      </c>
    </row>
    <row r="27" ht="30" customHeight="1">
      <c r="A27" s="44" t="n"/>
      <c r="B27" s="45" t="n"/>
      <c r="C27" s="45" t="n"/>
      <c r="D27" s="45" t="n"/>
      <c r="E27" s="46" t="n"/>
      <c r="F27" s="45" t="n"/>
      <c r="G27" s="47" t="n"/>
      <c r="H27" s="45" t="n"/>
      <c r="I27" s="48" t="n"/>
      <c r="J27" s="44" t="n"/>
      <c r="K27" s="44" t="n"/>
      <c r="L27" s="44" t="n"/>
      <c r="M27" s="48" t="n"/>
      <c r="N27" s="49" t="n"/>
      <c r="O27" s="44" t="n"/>
      <c r="P27" s="44" t="n"/>
      <c r="Q27" s="48" t="n"/>
      <c r="R27" s="50" t="n"/>
      <c r="S27" s="51" t="n"/>
      <c r="T27" s="47" t="n"/>
      <c r="U27" s="51" t="n"/>
      <c r="V27" s="51" t="n"/>
      <c r="W27" s="51" t="n"/>
      <c r="X27" s="51" t="n"/>
      <c r="Y27" s="47" t="n"/>
      <c r="Z27" s="44" t="n"/>
      <c r="AA27" s="44" t="n"/>
    </row>
  </sheetData>
  <autoFilter ref="A26:AA5000"/>
  <mergeCells count="50">
    <mergeCell ref="K16:L16"/>
    <mergeCell ref="A24:B24"/>
    <mergeCell ref="H20:I20"/>
    <mergeCell ref="B7:C7"/>
    <mergeCell ref="A25:R25"/>
    <mergeCell ref="F16:G16"/>
    <mergeCell ref="S23:U23"/>
    <mergeCell ref="E24:F24"/>
    <mergeCell ref="V22:Y22"/>
    <mergeCell ref="H16:J16"/>
    <mergeCell ref="O21:Q21"/>
    <mergeCell ref="S19:U19"/>
    <mergeCell ref="V18:Y18"/>
    <mergeCell ref="Z25:AA25"/>
    <mergeCell ref="Z16:AA16"/>
    <mergeCell ref="V21:Y21"/>
    <mergeCell ref="A5:C5"/>
    <mergeCell ref="V17:Y17"/>
    <mergeCell ref="S16:Y16"/>
    <mergeCell ref="O17:Q17"/>
    <mergeCell ref="S25:Y25"/>
    <mergeCell ref="A18:B18"/>
    <mergeCell ref="B8:C8"/>
    <mergeCell ref="V23:Y23"/>
    <mergeCell ref="S20:U20"/>
    <mergeCell ref="M16:N16"/>
    <mergeCell ref="H17:I17"/>
    <mergeCell ref="A21:B21"/>
    <mergeCell ref="D16:E16"/>
    <mergeCell ref="O23:Q23"/>
    <mergeCell ref="V20:Y20"/>
    <mergeCell ref="S22:U22"/>
    <mergeCell ref="H19:I19"/>
    <mergeCell ref="A23:B23"/>
    <mergeCell ref="A17:B17"/>
    <mergeCell ref="V19:Y19"/>
    <mergeCell ref="B9:C9"/>
    <mergeCell ref="A20:B20"/>
    <mergeCell ref="O19:Q19"/>
    <mergeCell ref="S21:U21"/>
    <mergeCell ref="B6:C6"/>
    <mergeCell ref="A19:B19"/>
    <mergeCell ref="O18:Q18"/>
    <mergeCell ref="O16:R16"/>
    <mergeCell ref="H18:I18"/>
    <mergeCell ref="S18:U18"/>
    <mergeCell ref="H23:I23"/>
    <mergeCell ref="S17:U17"/>
    <mergeCell ref="O20:Q20"/>
    <mergeCell ref="A16:C16"/>
  </mergeCells>
  <conditionalFormatting sqref="A27:A5000">
    <cfRule type="expression" priority="1" dxfId="0" stopIfTrue="1">
      <formula>$P27="Abwasser Uri"</formula>
    </cfRule>
    <cfRule type="expression" priority="2" dxfId="1" stopIfTrue="1">
      <formula>$P27="Kanalsanierer"</formula>
    </cfRule>
    <cfRule type="expression" priority="3" dxfId="2" stopIfTrue="1">
      <formula>$P27="Baumeister"</formula>
    </cfRule>
    <cfRule type="expression" priority="4" dxfId="3" stopIfTrue="1">
      <formula>$P27="Gartenbauer"</formula>
    </cfRule>
  </conditionalFormatting>
  <conditionalFormatting sqref="P27:P5000">
    <cfRule type="expression" priority="5" dxfId="0" stopIfTrue="1">
      <formula>$P27="Abwasser Uri"</formula>
    </cfRule>
    <cfRule type="expression" priority="6" dxfId="1" stopIfTrue="1">
      <formula>$P27="Kanalsanierer"</formula>
    </cfRule>
    <cfRule type="expression" priority="7" dxfId="2" stopIfTrue="1">
      <formula>$P27="Baumeister"</formula>
    </cfRule>
    <cfRule type="expression" priority="8" dxfId="3" stopIfTrue="1">
      <formula>$P27="Gartenbauer"</formula>
    </cfRule>
  </conditionalFormatting>
  <conditionalFormatting sqref="J27:J5000">
    <cfRule type="expression" priority="9" dxfId="4" stopIfTrue="1">
      <formula>AND($J27&lt;&gt;"",OR($J27=0,$J27="0"))</formula>
    </cfRule>
    <cfRule type="expression" priority="10" dxfId="5" stopIfTrue="1">
      <formula>AND($J27&lt;&gt;"",OR($J27=1,$J27="1"))</formula>
    </cfRule>
    <cfRule type="expression" priority="11" dxfId="6" stopIfTrue="1">
      <formula>AND($J27&lt;&gt;"",OR($J27=2,$J27="2"))</formula>
    </cfRule>
    <cfRule type="expression" priority="12" dxfId="7" stopIfTrue="1">
      <formula>AND($J27&lt;&gt;"",OR($J27=3,$J27="3"))</formula>
    </cfRule>
    <cfRule type="expression" priority="13" dxfId="8" stopIfTrue="1">
      <formula>AND($J27&lt;&gt;"",OR($J27=4,$J27="4"))</formula>
    </cfRule>
  </conditionalFormatting>
  <conditionalFormatting sqref="K27:K5000">
    <cfRule type="expression" priority="14" dxfId="8" stopIfTrue="1">
      <formula>$K27="i.O."</formula>
    </cfRule>
    <cfRule type="expression" priority="15" dxfId="6" stopIfTrue="1">
      <formula>$K27="beobachten"</formula>
    </cfRule>
    <cfRule type="expression" priority="16" dxfId="4" stopIfTrue="1">
      <formula>$K27="Sanierungsbedarf"</formula>
    </cfRule>
    <cfRule type="expression" priority="17" dxfId="8" stopIfTrue="1">
      <formula>$K27="Prüfung bestanden"</formula>
    </cfRule>
    <cfRule type="expression" priority="18" dxfId="6" stopIfTrue="1">
      <formula>$K27="Prüfung knapp nicht bestanden"</formula>
    </cfRule>
    <cfRule type="expression" priority="19" dxfId="4" stopIfTrue="1">
      <formula>$K27="Prüfung nicht bestanden (grob undicht)"</formula>
    </cfRule>
    <cfRule type="expression" priority="20" dxfId="8" stopIfTrue="1">
      <formula>$K27="Pruefung bestanden"</formula>
    </cfRule>
    <cfRule type="expression" priority="21" dxfId="6" stopIfTrue="1">
      <formula>$K27="Pruefung knapp nicht bestanden"</formula>
    </cfRule>
    <cfRule type="expression" priority="22" dxfId="4" stopIfTrue="1">
      <formula>$K27="Pruefung nicht bestanden (grob undicht)"</formula>
    </cfRule>
    <cfRule type="expression" priority="23" dxfId="9" stopIfTrue="1">
      <formula>$K27="Keine"</formula>
    </cfRule>
  </conditionalFormatting>
  <conditionalFormatting sqref="L27:L5000">
    <cfRule type="expression" priority="24" dxfId="8" stopIfTrue="1">
      <formula>$L27="Ja"</formula>
    </cfRule>
    <cfRule type="expression" priority="25" dxfId="9" stopIfTrue="1">
      <formula>$L27="Nein"</formula>
    </cfRule>
  </conditionalFormatting>
  <conditionalFormatting sqref="O27:O5000">
    <cfRule type="expression" priority="26" dxfId="0" stopIfTrue="1">
      <formula>$O27="Abwasser Uri"</formula>
    </cfRule>
    <cfRule type="expression" priority="27" dxfId="0" stopIfTrue="1">
      <formula>$O27="AWU"</formula>
    </cfRule>
    <cfRule type="expression" priority="28" dxfId="0" stopIfTrue="1">
      <formula>$O27="AWU_von_oeffentlich"</formula>
    </cfRule>
    <cfRule type="expression" priority="29" dxfId="0" stopIfTrue="1">
      <formula>$O27="AWU_von_oeffentlich (Abwasserverband)"</formula>
    </cfRule>
    <cfRule type="expression" priority="30" dxfId="0" stopIfTrue="1">
      <formula>$O27="AWU_von_privat"</formula>
    </cfRule>
    <cfRule type="expression" priority="31" dxfId="0" stopIfTrue="1">
      <formula>$O27="AWU_von_privat (Abwasserverband)"</formula>
    </cfRule>
    <cfRule type="expression" priority="32" dxfId="6" stopIfTrue="1">
      <formula>$O27="Kanton Uri"</formula>
    </cfRule>
    <cfRule type="expression" priority="33" dxfId="6" stopIfTrue="1">
      <formula>$O27="Kanton"</formula>
    </cfRule>
    <cfRule type="expression" priority="34" dxfId="6" stopIfTrue="1">
      <formula>$O27="Kanton Uri (Kanton)"</formula>
    </cfRule>
    <cfRule type="expression" priority="35" dxfId="10" stopIfTrue="1">
      <formula>$O27="Bund"</formula>
    </cfRule>
    <cfRule type="expression" priority="36" dxfId="10" stopIfTrue="1">
      <formula>$O27="Bund Astra"</formula>
    </cfRule>
    <cfRule type="expression" priority="37" dxfId="10" stopIfTrue="1">
      <formula>$O27="Bund Astra (Bund)"</formula>
    </cfRule>
    <cfRule type="expression" priority="38" dxfId="10" stopIfTrue="1">
      <formula>$O27="Bund (Bund)"</formula>
    </cfRule>
    <cfRule type="expression" priority="39" dxfId="2" stopIfTrue="1">
      <formula>$O27="Gemeinde"</formula>
    </cfRule>
    <cfRule type="expression" priority="40" dxfId="2" stopIfTrue="1">
      <formula>$O27="Altdorf"</formula>
    </cfRule>
    <cfRule type="expression" priority="41" dxfId="2" stopIfTrue="1">
      <formula>$O27="Altdorf (Gemeinde)"</formula>
    </cfRule>
    <cfRule type="expression" priority="42" dxfId="2" stopIfTrue="1">
      <formula>$O27="Bürglen"</formula>
    </cfRule>
    <cfRule type="expression" priority="43" dxfId="2" stopIfTrue="1">
      <formula>$O27="Bürglen (Gemeinde)"</formula>
    </cfRule>
    <cfRule type="expression" priority="44" dxfId="2" stopIfTrue="1">
      <formula>$O27="Schattdorf"</formula>
    </cfRule>
    <cfRule type="expression" priority="45" dxfId="2" stopIfTrue="1">
      <formula>$O27="Schattdorf (Gemeinde)"</formula>
    </cfRule>
    <cfRule type="expression" priority="46" dxfId="2" stopIfTrue="1">
      <formula>$O27="Andermatt"</formula>
    </cfRule>
    <cfRule type="expression" priority="47" dxfId="2" stopIfTrue="1">
      <formula>$O27="Andermatt (Gemeinde)"</formula>
    </cfRule>
    <cfRule type="expression" priority="48" dxfId="2" stopIfTrue="1">
      <formula>$O27="Attinghausen"</formula>
    </cfRule>
    <cfRule type="expression" priority="49" dxfId="2" stopIfTrue="1">
      <formula>$O27="Attinghausen (Gemeinde)"</formula>
    </cfRule>
    <cfRule type="expression" priority="50" dxfId="2" stopIfTrue="1">
      <formula>$O27="Erstfeld"</formula>
    </cfRule>
    <cfRule type="expression" priority="51" dxfId="2" stopIfTrue="1">
      <formula>$O27="Erstfeld (Gemeinde)"</formula>
    </cfRule>
    <cfRule type="expression" priority="52" dxfId="2" stopIfTrue="1">
      <formula>$O27="Flüelen"</formula>
    </cfRule>
    <cfRule type="expression" priority="53" dxfId="2" stopIfTrue="1">
      <formula>$O27="Flüelen (Gemeinde)"</formula>
    </cfRule>
    <cfRule type="expression" priority="54" dxfId="2" stopIfTrue="1">
      <formula>$O27="Göschenen"</formula>
    </cfRule>
    <cfRule type="expression" priority="55" dxfId="2" stopIfTrue="1">
      <formula>$O27="Göschenen (Gemeinde)"</formula>
    </cfRule>
    <cfRule type="expression" priority="56" dxfId="2" stopIfTrue="1">
      <formula>$O27="Gurtnellen"</formula>
    </cfRule>
    <cfRule type="expression" priority="57" dxfId="2" stopIfTrue="1">
      <formula>$O27="Gurtnellen (Gemeinde)"</formula>
    </cfRule>
    <cfRule type="expression" priority="58" dxfId="2" stopIfTrue="1">
      <formula>$O27="Hospental"</formula>
    </cfRule>
    <cfRule type="expression" priority="59" dxfId="2" stopIfTrue="1">
      <formula>$O27="Hospental (Gemeinde)"</formula>
    </cfRule>
    <cfRule type="expression" priority="60" dxfId="2" stopIfTrue="1">
      <formula>$O27="Isenthal"</formula>
    </cfRule>
    <cfRule type="expression" priority="61" dxfId="2" stopIfTrue="1">
      <formula>$O27="Isenthal (Gemeinde)"</formula>
    </cfRule>
    <cfRule type="expression" priority="62" dxfId="2" stopIfTrue="1">
      <formula>$O27="Realp"</formula>
    </cfRule>
    <cfRule type="expression" priority="63" dxfId="2" stopIfTrue="1">
      <formula>$O27="Realp (Gemeinde)"</formula>
    </cfRule>
    <cfRule type="expression" priority="64" dxfId="2" stopIfTrue="1">
      <formula>$O27="Seedorf"</formula>
    </cfRule>
    <cfRule type="expression" priority="65" dxfId="2" stopIfTrue="1">
      <formula>$O27="Seedorf (Gemeinde)"</formula>
    </cfRule>
    <cfRule type="expression" priority="66" dxfId="2" stopIfTrue="1">
      <formula>$O27="Seelisberg"</formula>
    </cfRule>
    <cfRule type="expression" priority="67" dxfId="2" stopIfTrue="1">
      <formula>$O27="Seelisberg (Gemeinde)"</formula>
    </cfRule>
    <cfRule type="expression" priority="68" dxfId="2" stopIfTrue="1">
      <formula>$O27="Silenen"</formula>
    </cfRule>
    <cfRule type="expression" priority="69" dxfId="2" stopIfTrue="1">
      <formula>$O27="Silenen (Gemeinde)"</formula>
    </cfRule>
    <cfRule type="expression" priority="70" dxfId="2" stopIfTrue="1">
      <formula>$O27="Sisikon"</formula>
    </cfRule>
    <cfRule type="expression" priority="71" dxfId="2" stopIfTrue="1">
      <formula>$O27="Sisikon (Gemeinde)"</formula>
    </cfRule>
    <cfRule type="expression" priority="72" dxfId="2" stopIfTrue="1">
      <formula>$O27="Spiringen"</formula>
    </cfRule>
    <cfRule type="expression" priority="73" dxfId="2" stopIfTrue="1">
      <formula>$O27="Spiringen (Gemeinde)"</formula>
    </cfRule>
    <cfRule type="expression" priority="74" dxfId="2" stopIfTrue="1">
      <formula>$O27="Unterschächen"</formula>
    </cfRule>
    <cfRule type="expression" priority="75" dxfId="2" stopIfTrue="1">
      <formula>$O27="Unterschächen (Gemeinde)"</formula>
    </cfRule>
    <cfRule type="expression" priority="76" dxfId="2" stopIfTrue="1">
      <formula>$O27="Wassen"</formula>
    </cfRule>
    <cfRule type="expression" priority="77" dxfId="2" stopIfTrue="1">
      <formula>$O27="Wassen (Gemeinde)"</formula>
    </cfRule>
    <cfRule type="expression" priority="78" dxfId="4" stopIfTrue="1">
      <formula>$O27="Privat"</formula>
    </cfRule>
    <cfRule type="expression" priority="79" dxfId="4" stopIfTrue="1">
      <formula>$O27="Privat (Privat)"</formula>
    </cfRule>
    <cfRule type="expression" priority="80" dxfId="4" stopIfTrue="1">
      <formula>$O27="RUAG"</formula>
    </cfRule>
    <cfRule type="expression" priority="81" dxfId="4" stopIfTrue="1">
      <formula>$O27="RUAG (Privat)"</formula>
    </cfRule>
  </conditionalFormatting>
  <conditionalFormatting sqref="Z27:Z5000">
    <cfRule type="expression" priority="82" dxfId="4" stopIfTrue="1">
      <formula>$Z27="offen"</formula>
    </cfRule>
    <cfRule type="expression" priority="83" dxfId="11" stopIfTrue="1">
      <formula>$Z27="abgeschlossen"</formula>
    </cfRule>
  </conditionalFormatting>
  <conditionalFormatting sqref="A27:AA5000">
    <cfRule type="expression" priority="84" dxfId="12">
      <formula>MOD(ROW(),2)=0</formula>
    </cfRule>
  </conditionalFormatting>
  <printOptions horizontalCentered="1"/>
  <pageMargins left="0.25" right="0.25" top="0.4" bottom="0.4" header="0.15" footer="0.15"/>
  <pageSetup orientation="landscape" paperSize="8" fitToHeight="0" fitToWidth="1"/>
  <headerFooter>
    <oddHeader/>
    <oddFooter>&amp;L&amp;8 &amp;F&amp;R&amp;8 Seite &amp;P von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2026-09-24T11:32:05Z</dcterms:created>
  <dcterms:modified xsi:type="dcterms:W3CDTF">2026-09-24T11:32:05Z</dcterms:modified>
</cp:coreProperties>
</file>