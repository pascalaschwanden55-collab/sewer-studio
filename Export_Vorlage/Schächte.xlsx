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aechte" sheetId="1" state="visible" r:id="rId1"/>
  </sheets>
  <definedNames>
    <definedName name="_xlnm._FilterDatabase" localSheetId="0" hidden="1">'Schaechte'!$A$26:$Q$5000</definedName>
    <definedName name="_xlnm.Print_Titles" localSheetId="0">'Schaechte'!$26:$26,'Schaechte'!$A:$C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CHF&quot; #,##0.00"/>
    <numFmt numFmtId="165" formatCode="0&quot; Schächte&quot;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1F2933"/>
      <sz val="9"/>
    </font>
    <font>
      <name val="Calibri"/>
      <b val="1"/>
      <color rgb="FF1F2933"/>
      <sz val="9"/>
    </font>
    <font>
      <name val="Calibri"/>
      <b val="1"/>
      <color rgb="FF1F2933"/>
      <sz val="10"/>
    </font>
    <font>
      <name val="Calibri"/>
      <b val="1"/>
      <color rgb="FF1F2933"/>
      <sz val="14"/>
    </font>
    <font>
      <name val="Calibri"/>
      <color rgb="FF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F5F7FA"/>
      </patternFill>
    </fill>
    <fill>
      <patternFill patternType="solid">
        <fgColor rgb="FFE2EFDA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E9F2E3"/>
      </patternFill>
    </fill>
  </fills>
  <borders count="21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</border>
    <border>
      <left style="thick">
        <color rgb="FFFF00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66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FF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AEB135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92D05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4472C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8497B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E7E6E6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548235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80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00B0F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BF8F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7030A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00B050"/>
      </left>
      <right style="thin">
        <color rgb="FFD6DCE4"/>
      </right>
      <top style="thin">
        <color rgb="FFD6DCE4"/>
      </top>
      <bottom style="thin">
        <color rgb="FFD6DCE4"/>
      </bottom>
    </border>
    <border>
      <bottom style="thick">
        <color rgb="FF70AD47"/>
      </bottom>
    </border>
    <border>
      <left style="thin">
        <color rgb="FF5D6E85"/>
      </left>
      <right style="thin">
        <color rgb="FF5D6E85"/>
      </right>
      <top style="thin">
        <color rgb="FF44546A"/>
      </top>
      <bottom style="medium">
        <color rgb="FF2F3B4C"/>
      </bottom>
    </border>
    <border>
      <left style="thin">
        <color rgb="FFB4C0CE"/>
      </left>
      <right style="thin">
        <color rgb="FFB4C0CE"/>
      </right>
      <top style="thin">
        <color rgb="FFB4C0CE"/>
      </top>
      <bottom style="thin">
        <color rgb="FFB4C0C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3" applyAlignment="1" pivotButton="0" quotePrefix="0" xfId="0">
      <alignment horizontal="left" vertical="center" indent="1"/>
    </xf>
    <xf numFmtId="3" fontId="3" fillId="3" borderId="1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 vertical="center" indent="1"/>
    </xf>
    <xf numFmtId="0" fontId="2" fillId="3" borderId="7" applyAlignment="1" pivotButton="0" quotePrefix="0" xfId="0">
      <alignment horizontal="left" vertical="center" indent="1"/>
    </xf>
    <xf numFmtId="0" fontId="2" fillId="3" borderId="12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3" borderId="4" applyAlignment="1" pivotButton="0" quotePrefix="0" xfId="0">
      <alignment horizontal="left" vertical="center" indent="1"/>
    </xf>
    <xf numFmtId="0" fontId="2" fillId="3" borderId="9" applyAlignment="1" pivotButton="0" quotePrefix="0" xfId="0">
      <alignment horizontal="left" vertical="center" indent="1"/>
    </xf>
    <xf numFmtId="0" fontId="2" fillId="3" borderId="11" applyAlignment="1" pivotButton="0" quotePrefix="0" xfId="0">
      <alignment horizontal="left" vertical="center" indent="1"/>
    </xf>
    <xf numFmtId="0" fontId="2" fillId="3" borderId="5" applyAlignment="1" pivotButton="0" quotePrefix="0" xfId="0">
      <alignment horizontal="left" vertical="center" indent="1"/>
    </xf>
    <xf numFmtId="0" fontId="2" fillId="3" borderId="15" applyAlignment="1" pivotButton="0" quotePrefix="0" xfId="0">
      <alignment horizontal="left" vertical="center" indent="1"/>
    </xf>
    <xf numFmtId="0" fontId="2" fillId="3" borderId="17" applyAlignment="1" pivotButton="0" quotePrefix="0" xfId="0">
      <alignment horizontal="left" vertical="center" indent="1"/>
    </xf>
    <xf numFmtId="0" fontId="2" fillId="3" borderId="10" applyAlignment="1" pivotButton="0" quotePrefix="0" xfId="0">
      <alignment horizontal="left" vertical="center" indent="1"/>
    </xf>
    <xf numFmtId="0" fontId="2" fillId="3" borderId="13" applyAlignment="1" pivotButton="0" quotePrefix="0" xfId="0">
      <alignment horizontal="left" vertical="center" indent="1"/>
    </xf>
    <xf numFmtId="0" fontId="2" fillId="3" borderId="14" applyAlignment="1" pivotButton="0" quotePrefix="0" xfId="0">
      <alignment horizontal="left" vertical="center" indent="1"/>
    </xf>
    <xf numFmtId="0" fontId="2" fillId="3" borderId="6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5" fontId="4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right" vertical="center" indent="1"/>
    </xf>
    <xf numFmtId="4" fontId="4" fillId="3" borderId="0" applyAlignment="1" pivotButton="0" quotePrefix="0" xfId="0">
      <alignment horizontal="right" vertical="center" indent="1"/>
    </xf>
    <xf numFmtId="0" fontId="5" fillId="0" borderId="18" applyAlignment="1" pivotButton="0" quotePrefix="0" xfId="0">
      <alignment horizontal="left" vertical="bottom"/>
    </xf>
    <xf numFmtId="0" fontId="0" fillId="0" borderId="18" pivotButton="0" quotePrefix="0" xfId="0"/>
    <xf numFmtId="0" fontId="4" fillId="9" borderId="18" applyAlignment="1" pivotButton="0" quotePrefix="0" xfId="0">
      <alignment horizontal="center" vertical="bottom"/>
    </xf>
    <xf numFmtId="0" fontId="0" fillId="9" borderId="18" pivotButton="0" quotePrefix="0" xfId="0"/>
    <xf numFmtId="0" fontId="1" fillId="2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top" wrapText="1"/>
    </xf>
    <xf numFmtId="164" fontId="2" fillId="0" borderId="20" applyAlignment="1" pivotButton="0" quotePrefix="0" xfId="0">
      <alignment horizontal="right" vertical="center"/>
    </xf>
    <xf numFmtId="0" fontId="6" fillId="0" borderId="20" applyAlignment="1" pivotButton="0" quotePrefix="0" xfId="0">
      <alignment horizontal="center" vertical="center"/>
    </xf>
    <xf numFmtId="3" fontId="2" fillId="0" borderId="20" applyAlignment="1" pivotButton="0" quotePrefix="0" xfId="0">
      <alignment horizontal="right" vertical="center"/>
    </xf>
  </cellXfs>
  <cellStyles count="1">
    <cellStyle name="Normal" xfId="0" builtinId="0" hidden="0"/>
  </cellStyles>
  <dxfs count="13">
    <dxf>
      <font>
        <name val="Calibri"/>
        <b val="1"/>
        <color rgb="FFFFFFFF"/>
        <sz val="9"/>
      </font>
      <fill>
        <patternFill patternType="solid">
          <fgColor rgb="FF548235"/>
          <bgColor rgb="FF548235"/>
        </patternFill>
      </fill>
    </dxf>
    <dxf>
      <font>
        <name val="Calibri"/>
        <b val="1"/>
        <color rgb="FFFFFFFF"/>
        <sz val="9"/>
      </font>
      <fill>
        <patternFill patternType="solid">
          <fgColor rgb="FFBF8F00"/>
          <bgColor rgb="FFBF8F00"/>
        </patternFill>
      </fill>
    </dxf>
    <dxf>
      <font>
        <name val="Calibri"/>
        <b val="1"/>
        <color rgb="FF1F2933"/>
        <sz val="9"/>
      </font>
      <fill>
        <patternFill patternType="solid">
          <fgColor rgb="FF00B0F0"/>
          <bgColor rgb="FF00B0F0"/>
        </patternFill>
      </fill>
    </dxf>
    <dxf>
      <font>
        <name val="Calibri"/>
        <b val="1"/>
        <color rgb="FFFFFFFF"/>
        <sz val="9"/>
      </font>
      <fill>
        <patternFill patternType="solid">
          <fgColor rgb="FF7030A0"/>
          <bgColor rgb="FF7030A0"/>
        </patternFill>
      </fill>
    </dxf>
    <dxf>
      <font>
        <name val="Calibri"/>
        <b val="1"/>
        <color rgb="FFFFFFFF"/>
        <sz val="9"/>
      </font>
      <fill>
        <patternFill patternType="solid">
          <fgColor rgb="FFFF0000"/>
          <bgColor rgb="FFFF0000"/>
        </patternFill>
      </fill>
    </dxf>
    <dxf>
      <font>
        <name val="Calibri"/>
        <b val="1"/>
        <color rgb="FFFFFFFF"/>
        <sz val="9"/>
      </font>
      <fill>
        <patternFill patternType="solid">
          <fgColor rgb="FFFF6600"/>
          <bgColor rgb="FFFF6600"/>
        </patternFill>
      </fill>
    </dxf>
    <dxf>
      <font>
        <name val="Calibri"/>
        <b val="1"/>
        <color rgb="FF1F2933"/>
        <sz val="9"/>
      </font>
      <fill>
        <patternFill patternType="solid">
          <fgColor rgb="FFFFFF00"/>
          <bgColor rgb="FFFFFF00"/>
        </patternFill>
      </fill>
    </dxf>
    <dxf>
      <font>
        <name val="Calibri"/>
        <b val="1"/>
        <color rgb="FF1F2933"/>
        <sz val="9"/>
      </font>
      <fill>
        <patternFill patternType="solid">
          <fgColor rgb="FFAEB135"/>
          <bgColor rgb="FFAEB135"/>
        </patternFill>
      </fill>
    </dxf>
    <dxf>
      <font>
        <name val="Calibri"/>
        <b val="1"/>
        <color rgb="FF1F2933"/>
        <sz val="9"/>
      </font>
      <fill>
        <patternFill patternType="solid">
          <fgColor rgb="FF92D050"/>
          <bgColor rgb="FF92D050"/>
        </patternFill>
      </fill>
    </dxf>
    <dxf>
      <font>
        <name val="Calibri"/>
        <b val="1"/>
        <color rgb="FF1F2933"/>
        <sz val="9"/>
      </font>
      <fill>
        <patternFill patternType="solid">
          <fgColor rgb="FFE7E6E6"/>
          <bgColor rgb="FFE7E6E6"/>
        </patternFill>
      </fill>
    </dxf>
    <dxf>
      <font>
        <name val="Calibri"/>
        <b val="1"/>
        <color rgb="FFFFFFFF"/>
        <sz val="9"/>
      </font>
      <fill>
        <patternFill patternType="solid">
          <fgColor rgb="FFFF8000"/>
          <bgColor rgb="FFFF8000"/>
        </patternFill>
      </fill>
    </dxf>
    <dxf>
      <font>
        <name val="Calibri"/>
        <b val="1"/>
        <color rgb="FFFFFFFF"/>
        <sz val="9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F7F9FC"/>
          <bgColor rgb="FF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Zustandsklassen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'Schaechte'!$C$17</f>
            </numRef>
          </val>
        </ser>
        <ser>
          <idx val="1"/>
          <order val="1"/>
          <spPr>
            <a:solidFill>
              <a:srgbClr val="FF66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'Schaechte'!$C$18</f>
            </numRef>
          </val>
        </ser>
        <ser>
          <idx val="2"/>
          <order val="2"/>
          <spPr>
            <a:solidFill>
              <a:srgbClr val="FFF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'Schaechte'!$C$19</f>
            </numRef>
          </val>
        </ser>
        <ser>
          <idx val="3"/>
          <order val="3"/>
          <spPr>
            <a:solidFill>
              <a:srgbClr val="AEB1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'Schaechte'!$C$20</f>
            </numRef>
          </val>
        </ser>
        <ser>
          <idx val="4"/>
          <order val="4"/>
          <spPr>
            <a:solidFill>
              <a:srgbClr val="92D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'Schaechte'!$C$21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Sanieren Ja / Nein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92D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'Schaechte'!$I$17</f>
            </numRef>
          </val>
        </ser>
        <ser>
          <idx val="1"/>
          <order val="1"/>
          <spPr>
            <a:solidFill>
              <a:srgbClr val="E7E6E6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'Schaechte'!$I$18</f>
            </numRef>
          </val>
        </ser>
        <ser>
          <idx val="2"/>
          <order val="2"/>
          <spPr>
            <a:solidFill>
              <a:srgbClr val="FFF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'Schaechte'!$I$19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Eigentümer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5482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'Schaechte'!$K$17</f>
            </numRef>
          </val>
        </ser>
        <ser>
          <idx val="1"/>
          <order val="1"/>
          <spPr>
            <a:solidFill>
              <a:srgbClr val="FFF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'Schaechte'!$K$18</f>
            </numRef>
          </val>
        </ser>
        <ser>
          <idx val="2"/>
          <order val="2"/>
          <spPr>
            <a:solidFill>
              <a:srgbClr val="FF8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'Schaechte'!$K$19</f>
            </numRef>
          </val>
        </ser>
        <ser>
          <idx val="3"/>
          <order val="3"/>
          <spPr>
            <a:solidFill>
              <a:srgbClr val="00B0F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'Schaechte'!$K$20</f>
            </numRef>
          </val>
        </ser>
        <ser>
          <idx val="4"/>
          <order val="4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'Schaechte'!$K$21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Ausgeführt durch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5482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'Schaechte'!$M$17</f>
            </numRef>
          </val>
        </ser>
        <ser>
          <idx val="1"/>
          <order val="1"/>
          <spPr>
            <a:solidFill>
              <a:srgbClr val="BF8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'Schaechte'!$M$18</f>
            </numRef>
          </val>
        </ser>
        <ser>
          <idx val="2"/>
          <order val="2"/>
          <spPr>
            <a:solidFill>
              <a:srgbClr val="00B0F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'Schaechte'!$M$19</f>
            </numRef>
          </val>
        </ser>
        <ser>
          <idx val="3"/>
          <order val="3"/>
          <spPr>
            <a:solidFill>
              <a:srgbClr val="7030A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'Schaechte'!$M$20</f>
            </numRef>
          </val>
        </ser>
        <ser>
          <idx val="4"/>
          <order val="4"/>
          <spPr>
            <a:solidFill>
              <a:srgbClr val="D6DCE4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'Schaechte'!$M$21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Sanierungsstatus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'Schaechte'!$Q$17</f>
            </numRef>
          </val>
        </ser>
        <ser>
          <idx val="1"/>
          <order val="1"/>
          <spPr>
            <a:solidFill>
              <a:srgbClr val="00B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'Schaechte'!$Q$18</f>
            </numRef>
          </val>
        </ser>
        <ser>
          <idx val="2"/>
          <order val="2"/>
          <spPr>
            <a:solidFill>
              <a:srgbClr val="D6DCE4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'Schaechte'!$Q$19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Funktion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8497B0"/>
              </a:solidFill>
              <a:ln>
                <a:prstDash val="solid"/>
              </a:ln>
            </spPr>
          </dPt>
          <dPt>
            <idx val="2"/>
            <spPr>
              <a:solidFill>
                <a:srgbClr val="D6DCE4"/>
              </a:solidFill>
              <a:ln>
                <a:prstDash val="solid"/>
              </a:ln>
            </spPr>
          </dPt>
          <cat>
            <strRef>
              <f>'Schaechte'!$D$17:$D$19</f>
            </strRef>
          </cat>
          <val>
            <numRef>
              <f>'Schaechte'!$F$17:$F$19</f>
            </numRef>
          </val>
        </ser>
        <dLbls>
          <numFmt formatCode="#,##0;-#,##0;&quot;&quot;"/>
          <txPr>
            <a:bodyPr/>
            <a:p>
              <a:pPr>
                <a:defRPr sz="700" b="0"/>
              </a:pPr>
              <a:r>
                <a:t/>
              </a:r>
              <a:endParaRPr sz="700" b="0"/>
            </a:p>
          </txPr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 b="0"/>
            </a:pPr>
            <a:r>
              <a:t/>
            </a:r>
            <a:endParaRPr sz="700" b="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Abdeckungen nach Belastungsklasse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D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76A5AF"/>
              </a:solidFill>
              <a:ln>
                <a:prstDash val="solid"/>
              </a:ln>
            </spPr>
          </dPt>
          <dPt>
            <idx val="2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prstDash val="solid"/>
              </a:ln>
            </spPr>
          </dPt>
          <dPt>
            <idx val="4"/>
            <spPr>
              <a:solidFill>
                <a:srgbClr val="8497B0"/>
              </a:solidFill>
              <a:ln>
                <a:prstDash val="solid"/>
              </a:ln>
            </spPr>
          </dPt>
          <dPt>
            <idx val="5"/>
            <spPr>
              <a:solidFill>
                <a:srgbClr val="44546A"/>
              </a:solidFill>
              <a:ln>
                <a:prstDash val="solid"/>
              </a:ln>
            </spPr>
          </dPt>
          <cat>
            <strRef>
              <f>'Schaechte'!$N$17:$N$22</f>
            </strRef>
          </cat>
          <val>
            <numRef>
              <f>'Schaechte'!$O$17:$O$22</f>
            </numRef>
          </val>
        </ser>
        <dLbls>
          <numFmt formatCode="#,##0;-#,##0;&quot;&quot;"/>
          <txPr>
            <a:bodyPr/>
            <a:p>
              <a:pPr>
                <a:defRPr sz="700" b="0"/>
              </a:pPr>
              <a:r>
                <a:t/>
              </a:r>
              <a:endParaRPr sz="700" b="0"/>
            </a:p>
          </txPr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 b="0"/>
            </a:pPr>
            <a:r>
              <a:t/>
            </a:r>
            <a:endParaRPr sz="700" b="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image" Target="/xl/media/image1.png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2419200" y="72000"/>
    <ext cx="3744000" cy="55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  <absoluteAnchor>
    <pos x="2419200" y="630000"/>
    <ext cx="3744000" cy="55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absoluteAnchor>
  <absoluteAnchor>
    <pos x="2419200" y="1188000"/>
    <ext cx="3744000" cy="55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absoluteAnchor>
  <absoluteAnchor>
    <pos x="2419200" y="1746000"/>
    <ext cx="3744000" cy="55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absoluteAnchor>
  <absoluteAnchor>
    <pos x="2419200" y="2304000"/>
    <ext cx="3744000" cy="55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absoluteAnchor>
  <absoluteAnchor>
    <pos x="6278400" y="72000"/>
    <ext cx="2880000" cy="279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absoluteAnchor>
  <absoluteAnchor>
    <pos x="9244800" y="72000"/>
    <ext cx="2880000" cy="279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absoluteAnchor>
  <absoluteAnchor>
    <pos x="216000" y="54000"/>
    <ext cx="2015999" cy="830836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Q27"/>
  <sheetViews>
    <sheetView showGridLines="0" topLeftCell="A1" workbookViewId="0">
      <pane xSplit="3" ySplit="26" topLeftCell="D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8" customWidth="1" min="4" max="4"/>
    <col width="38" customWidth="1" min="5" max="5"/>
    <col width="12" customWidth="1" min="6" max="6"/>
    <col width="9" customWidth="1" min="7" max="7"/>
    <col width="32" customWidth="1" min="8" max="8"/>
    <col width="14" customWidth="1" min="9" max="9"/>
    <col width="12" customWidth="1" min="10" max="10"/>
    <col width="16" customWidth="1" min="11" max="11"/>
    <col width="24" customWidth="1" min="12" max="12"/>
    <col width="11" customWidth="1" min="13" max="13"/>
    <col width="12" customWidth="1" min="14" max="14"/>
    <col width="14" customWidth="1" min="15" max="15"/>
    <col width="15" customWidth="1" min="16" max="16"/>
    <col width="13" customWidth="1" min="17" max="17"/>
  </cols>
  <sheetData>
    <row r="1" ht="18" customHeight="1"/>
    <row r="2" ht="18" customHeight="1"/>
    <row r="3" ht="18" customHeight="1"/>
    <row r="4" ht="18" customHeight="1"/>
    <row r="5" ht="18" customHeight="1">
      <c r="A5" s="1" t="inlineStr">
        <is>
          <t>Ausgeführt durch  –  Farbe der Spalte NR.</t>
        </is>
      </c>
      <c r="B5" s="2" t="n"/>
      <c r="C5" s="2" t="n"/>
    </row>
    <row r="6" ht="18" customHeight="1">
      <c r="A6" s="3" t="inlineStr">
        <is>
          <t>Nr.</t>
        </is>
      </c>
      <c r="B6" s="4" t="inlineStr">
        <is>
          <t>Abwasser Uri</t>
        </is>
      </c>
      <c r="C6" s="5" t="n"/>
    </row>
    <row r="7" ht="18" customHeight="1">
      <c r="A7" s="6" t="inlineStr">
        <is>
          <t>Nr.</t>
        </is>
      </c>
      <c r="B7" s="4" t="inlineStr">
        <is>
          <t>Kanalsanierer</t>
        </is>
      </c>
      <c r="C7" s="5" t="n"/>
    </row>
    <row r="8" ht="18" customHeight="1">
      <c r="A8" s="7" t="inlineStr">
        <is>
          <t>Nr.</t>
        </is>
      </c>
      <c r="B8" s="4" t="inlineStr">
        <is>
          <t>Baumeister</t>
        </is>
      </c>
      <c r="C8" s="5" t="n"/>
    </row>
    <row r="9" ht="18" customHeight="1">
      <c r="A9" s="8" t="inlineStr">
        <is>
          <t>Nr.</t>
        </is>
      </c>
      <c r="B9" s="4" t="inlineStr">
        <is>
          <t>Gartenbauer</t>
        </is>
      </c>
      <c r="C9" s="5" t="n"/>
    </row>
    <row r="10" ht="18" customHeight="1"/>
    <row r="11" ht="18" customHeight="1"/>
    <row r="12" ht="18" customHeight="1"/>
    <row r="13" ht="18" customHeight="1"/>
    <row r="14" ht="18" customHeight="1"/>
    <row r="15" ht="5" customHeight="1"/>
    <row r="16" ht="20" customHeight="1">
      <c r="A16" s="9" t="inlineStr">
        <is>
          <t>Zustandsklasse</t>
        </is>
      </c>
      <c r="B16" s="10" t="n"/>
      <c r="C16" s="10" t="n"/>
      <c r="D16" s="9" t="inlineStr">
        <is>
          <t>Funktion</t>
        </is>
      </c>
      <c r="E16" s="10" t="n"/>
      <c r="F16" s="10" t="n"/>
      <c r="G16" s="9" t="inlineStr">
        <is>
          <t>Sanieren</t>
        </is>
      </c>
      <c r="H16" s="10" t="n"/>
      <c r="I16" s="10" t="n"/>
      <c r="J16" s="9" t="inlineStr">
        <is>
          <t>Eigentümer</t>
        </is>
      </c>
      <c r="K16" s="10" t="n"/>
      <c r="L16" s="9" t="inlineStr">
        <is>
          <t>Ausgeführt durch  (färbt Spalte NR.)</t>
        </is>
      </c>
      <c r="M16" s="10" t="n"/>
      <c r="N16" s="9" t="inlineStr">
        <is>
          <t>Abdeckung / Belastungsklasse</t>
        </is>
      </c>
      <c r="O16" s="10" t="n"/>
      <c r="P16" s="9" t="inlineStr">
        <is>
          <t>Sanierungsstatus</t>
        </is>
      </c>
      <c r="Q16" s="10" t="n"/>
    </row>
    <row r="17" ht="16" customHeight="1">
      <c r="A17" s="11" t="inlineStr">
        <is>
          <t>0  sofort</t>
        </is>
      </c>
      <c r="B17" s="2" t="n"/>
      <c r="C17" s="12">
        <f>COUNTIF('Schaechte'!$F$27:$F$5000,"0")</f>
        <v/>
      </c>
      <c r="D17" s="13" t="inlineStr">
        <is>
          <t>Kontrollschacht</t>
        </is>
      </c>
      <c r="E17" s="2" t="n"/>
      <c r="F17" s="12">
        <f>COUNTIF('Schaechte'!$B$27:$B$5000,"Kontrollschacht")</f>
        <v/>
      </c>
      <c r="G17" s="14" t="inlineStr">
        <is>
          <t>Ja</t>
        </is>
      </c>
      <c r="H17" s="2" t="n"/>
      <c r="I17" s="12">
        <f>COUNTIF('Schaechte'!$G$27:$G$5000,"Ja")</f>
        <v/>
      </c>
      <c r="J17" s="15" t="inlineStr">
        <is>
          <t>Abwasser Uri</t>
        </is>
      </c>
      <c r="K17" s="12">
        <f>COUNTIF('Schaechte'!$J$27:$J$5000,"Abwasser Uri")+COUNTIF('Schaechte'!$J$27:$J$5000,"AWU")+COUNTIF('Schaechte'!$J$27:$J$5000,"AWU_von_oeffentlich")+COUNTIF('Schaechte'!$J$27:$J$5000,"AWU_von_oeffentlich (Abwasserverband)")+COUNTIF('Schaechte'!$J$27:$J$5000,"AWU_von_privat")+COUNTIF('Schaechte'!$J$27:$J$5000,"AWU_von_privat (Abwasserverband)")</f>
        <v/>
      </c>
      <c r="L17" s="15" t="inlineStr">
        <is>
          <t>Abwasser Uri</t>
        </is>
      </c>
      <c r="M17" s="12">
        <f>COUNTIF('Schaechte'!$K$27:$K$5000,"Abwasser Uri")</f>
        <v/>
      </c>
      <c r="N17" s="16" t="inlineStr">
        <is>
          <t>A15</t>
        </is>
      </c>
      <c r="O17" s="12">
        <f>COUNTIF('Schaechte'!$O$27:$O$5000,"A15")</f>
        <v/>
      </c>
      <c r="P17" s="11" t="inlineStr">
        <is>
          <t>offen</t>
        </is>
      </c>
      <c r="Q17" s="12">
        <f>COUNTIF('Schaechte'!$P$27:$P$5000,"offen")</f>
        <v/>
      </c>
    </row>
    <row r="18" ht="16" customHeight="1">
      <c r="A18" s="17" t="inlineStr">
        <is>
          <t>1  kurzfristig</t>
        </is>
      </c>
      <c r="B18" s="2" t="n"/>
      <c r="C18" s="12">
        <f>COUNTIF('Schaechte'!$F$27:$F$5000,"1")</f>
        <v/>
      </c>
      <c r="D18" s="18" t="inlineStr">
        <is>
          <t>Einstiegschacht</t>
        </is>
      </c>
      <c r="E18" s="2" t="n"/>
      <c r="F18" s="12">
        <f>COUNTIF('Schaechte'!$B$27:$B$5000,"Einstiegschacht")</f>
        <v/>
      </c>
      <c r="G18" s="19" t="inlineStr">
        <is>
          <t>Nein</t>
        </is>
      </c>
      <c r="H18" s="2" t="n"/>
      <c r="I18" s="12">
        <f>COUNTIF('Schaechte'!$G$27:$G$5000,"Nein")</f>
        <v/>
      </c>
      <c r="J18" s="20" t="inlineStr">
        <is>
          <t>Kanton Uri</t>
        </is>
      </c>
      <c r="K18" s="12">
        <f>COUNTIF('Schaechte'!$J$27:$J$5000,"Kanton Uri")+COUNTIF('Schaechte'!$J$27:$J$5000,"Kanton")+COUNTIF('Schaechte'!$J$27:$J$5000,"Kanton Uri (Kanton)")</f>
        <v/>
      </c>
      <c r="L18" s="21" t="inlineStr">
        <is>
          <t>Kanalsanierer</t>
        </is>
      </c>
      <c r="M18" s="12">
        <f>COUNTIF('Schaechte'!$K$27:$K$5000,"Kanalsanierer")</f>
        <v/>
      </c>
      <c r="N18" s="16" t="inlineStr">
        <is>
          <t>B125</t>
        </is>
      </c>
      <c r="O18" s="12">
        <f>COUNTIF('Schaechte'!$O$27:$O$5000,"B125")</f>
        <v/>
      </c>
      <c r="P18" s="22" t="inlineStr">
        <is>
          <t>abgeschlossen</t>
        </is>
      </c>
      <c r="Q18" s="12">
        <f>COUNTIF('Schaechte'!$P$27:$P$5000,"abgeschlossen")</f>
        <v/>
      </c>
    </row>
    <row r="19" ht="16" customHeight="1">
      <c r="A19" s="20" t="inlineStr">
        <is>
          <t>2  mittelfristig</t>
        </is>
      </c>
      <c r="B19" s="2" t="n"/>
      <c r="C19" s="12">
        <f>COUNTIF('Schaechte'!$F$27:$F$5000,"2")</f>
        <v/>
      </c>
      <c r="D19" s="23" t="inlineStr">
        <is>
          <t>übrige</t>
        </is>
      </c>
      <c r="E19" s="2" t="n"/>
      <c r="F19" s="12">
        <f>COUNTA('Schaechte'!$B$27:$B$5000)-COUNTIF('Schaechte'!$B$27:$B$5000,"Kontrollschacht")-COUNTIF('Schaechte'!$B$27:$B$5000,"Einstiegschacht")</f>
        <v/>
      </c>
      <c r="G19" s="20" t="inlineStr">
        <is>
          <t>unklar (U)</t>
        </is>
      </c>
      <c r="H19" s="2" t="n"/>
      <c r="I19" s="12">
        <f>COUNTIF('Schaechte'!$G$27:$G$5000,"U")</f>
        <v/>
      </c>
      <c r="J19" s="24" t="inlineStr">
        <is>
          <t>Bund</t>
        </is>
      </c>
      <c r="K19" s="12">
        <f>COUNTIF('Schaechte'!$J$27:$J$5000,"Bund")+COUNTIF('Schaechte'!$J$27:$J$5000,"Bund Astra")+COUNTIF('Schaechte'!$J$27:$J$5000,"Bund Astra (Bund)")+COUNTIF('Schaechte'!$J$27:$J$5000,"Bund (Bund)")</f>
        <v/>
      </c>
      <c r="L19" s="25" t="inlineStr">
        <is>
          <t>Baumeister</t>
        </is>
      </c>
      <c r="M19" s="12">
        <f>COUNTIF('Schaechte'!$K$27:$K$5000,"Baumeister")</f>
        <v/>
      </c>
      <c r="N19" s="16" t="inlineStr">
        <is>
          <t>C250</t>
        </is>
      </c>
      <c r="O19" s="12">
        <f>COUNTIF('Schaechte'!$O$27:$O$5000,"C250")</f>
        <v/>
      </c>
      <c r="P19" s="23" t="inlineStr">
        <is>
          <t>noch nicht erfasst</t>
        </is>
      </c>
      <c r="Q19" s="12">
        <f>COUNTA('Schaechte'!$C$27:$C$5000)-COUNTA('Schaechte'!$P$27:$P$5000)</f>
        <v/>
      </c>
    </row>
    <row r="20" ht="16" customHeight="1">
      <c r="A20" s="26" t="inlineStr">
        <is>
          <t>3  langfristig</t>
        </is>
      </c>
      <c r="B20" s="2" t="n"/>
      <c r="C20" s="12">
        <f>COUNTIF('Schaechte'!$F$27:$F$5000,"3")</f>
        <v/>
      </c>
      <c r="D20" s="5" t="n"/>
      <c r="E20" s="5" t="n"/>
      <c r="F20" s="5" t="n"/>
      <c r="G20" s="5" t="n"/>
      <c r="H20" s="5" t="n"/>
      <c r="I20" s="5" t="n"/>
      <c r="J20" s="25" t="inlineStr">
        <is>
          <t>Gemeinde</t>
        </is>
      </c>
      <c r="K20" s="12">
        <f>COUNTIF('Schaechte'!$J$27:$J$5000,"Gemeinde")+COUNTIF('Schaechte'!$J$27:$J$5000,"Altdorf")+COUNTIF('Schaechte'!$J$27:$J$5000,"Altdorf (Gemeinde)")+COUNTIF('Schaechte'!$J$27:$J$5000,"Bürglen")+COUNTIF('Schaechte'!$J$27:$J$5000,"Bürglen (Gemeinde)")+COUNTIF('Schaechte'!$J$27:$J$5000,"Schattdorf")+COUNTIF('Schaechte'!$J$27:$J$5000,"Schattdorf (Gemeinde)")+COUNTIF('Schaechte'!$J$27:$J$5000,"Andermatt")+COUNTIF('Schaechte'!$J$27:$J$5000,"Andermatt (Gemeinde)")+COUNTIF('Schaechte'!$J$27:$J$5000,"Attinghausen")+COUNTIF('Schaechte'!$J$27:$J$5000,"Attinghausen (Gemeinde)")+COUNTIF('Schaechte'!$J$27:$J$5000,"Erstfeld")+COUNTIF('Schaechte'!$J$27:$J$5000,"Erstfeld (Gemeinde)")+COUNTIF('Schaechte'!$J$27:$J$5000,"Flüelen")+COUNTIF('Schaechte'!$J$27:$J$5000,"Flüelen (Gemeinde)")+COUNTIF('Schaechte'!$J$27:$J$5000,"Göschenen")+COUNTIF('Schaechte'!$J$27:$J$5000,"Göschenen (Gemeinde)")+COUNTIF('Schaechte'!$J$27:$J$5000,"Gurtnellen")+COUNTIF('Schaechte'!$J$27:$J$5000,"Gurtnellen (Gemeinde)")+COUNTIF('Schaechte'!$J$27:$J$5000,"Hospental")+COUNTIF('Schaechte'!$J$27:$J$5000,"Hospental (Gemeinde)")+COUNTIF('Schaechte'!$J$27:$J$5000,"Isenthal")+COUNTIF('Schaechte'!$J$27:$J$5000,"Isenthal (Gemeinde)")+COUNTIF('Schaechte'!$J$27:$J$5000,"Realp")+COUNTIF('Schaechte'!$J$27:$J$5000,"Realp (Gemeinde)")+COUNTIF('Schaechte'!$J$27:$J$5000,"Seedorf")+COUNTIF('Schaechte'!$J$27:$J$5000,"Seedorf (Gemeinde)")+COUNTIF('Schaechte'!$J$27:$J$5000,"Seelisberg")+COUNTIF('Schaechte'!$J$27:$J$5000,"Seelisberg (Gemeinde)")+COUNTIF('Schaechte'!$J$27:$J$5000,"Silenen")+COUNTIF('Schaechte'!$J$27:$J$5000,"Silenen (Gemeinde)")+COUNTIF('Schaechte'!$J$27:$J$5000,"Sisikon")+COUNTIF('Schaechte'!$J$27:$J$5000,"Sisikon (Gemeinde)")+COUNTIF('Schaechte'!$J$27:$J$5000,"Spiringen")+COUNTIF('Schaechte'!$J$27:$J$5000,"Spiringen (Gemeinde)")+COUNTIF('Schaechte'!$J$27:$J$5000,"Unterschächen")+COUNTIF('Schaechte'!$J$27:$J$5000,"Unterschächen (Gemeinde)")+COUNTIF('Schaechte'!$J$27:$J$5000,"Wassen")+COUNTIF('Schaechte'!$J$27:$J$5000,"Wassen (Gemeinde)")</f>
        <v/>
      </c>
      <c r="L20" s="27" t="inlineStr">
        <is>
          <t>Gartenbauer</t>
        </is>
      </c>
      <c r="M20" s="12">
        <f>COUNTIF('Schaechte'!$K$27:$K$5000,"Gartenbauer")</f>
        <v/>
      </c>
      <c r="N20" s="16" t="inlineStr">
        <is>
          <t>D400</t>
        </is>
      </c>
      <c r="O20" s="12">
        <f>COUNTIF('Schaechte'!$O$27:$O$5000,"D400")</f>
        <v/>
      </c>
      <c r="P20" s="5" t="n"/>
      <c r="Q20" s="5" t="n"/>
    </row>
    <row r="21" ht="16" customHeight="1">
      <c r="A21" s="14" t="inlineStr">
        <is>
          <t>4  kein Bedarf</t>
        </is>
      </c>
      <c r="B21" s="2" t="n"/>
      <c r="C21" s="12">
        <f>COUNTIF('Schaechte'!$F$27:$F$5000,"4")</f>
        <v/>
      </c>
      <c r="D21" s="5" t="n"/>
      <c r="E21" s="5" t="n"/>
      <c r="F21" s="5" t="n"/>
      <c r="G21" s="5" t="n"/>
      <c r="H21" s="5" t="n"/>
      <c r="I21" s="5" t="n"/>
      <c r="J21" s="11" t="inlineStr">
        <is>
          <t>Privat</t>
        </is>
      </c>
      <c r="K21" s="12">
        <f>COUNTIF('Schaechte'!$J$27:$J$5000,"Privat")+COUNTIF('Schaechte'!$J$27:$J$5000,"Privat (Privat)")+COUNTIF('Schaechte'!$J$27:$J$5000,"RUAG")+COUNTIF('Schaechte'!$J$27:$J$5000,"RUAG (Privat)")</f>
        <v/>
      </c>
      <c r="L21" s="23" t="inlineStr">
        <is>
          <t>noch nicht zugeteilt</t>
        </is>
      </c>
      <c r="M21" s="12">
        <f>COUNTA('Schaechte'!$C$27:$C$5000)-COUNTA('Schaechte'!$K$27:$K$5000)</f>
        <v/>
      </c>
      <c r="N21" s="16" t="inlineStr">
        <is>
          <t>E600</t>
        </is>
      </c>
      <c r="O21" s="12">
        <f>COUNTIF('Schaechte'!$O$27:$O$5000,"E600")</f>
        <v/>
      </c>
      <c r="P21" s="5" t="n"/>
      <c r="Q21" s="5" t="n"/>
    </row>
    <row r="22" ht="1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6" t="inlineStr">
        <is>
          <t>F900</t>
        </is>
      </c>
      <c r="O22" s="12">
        <f>COUNTIF('Schaechte'!$O$27:$O$5000,"F900")</f>
        <v/>
      </c>
      <c r="P22" s="5" t="n"/>
      <c r="Q22" s="5" t="n"/>
    </row>
    <row r="23" ht="17" customHeight="1">
      <c r="A23" s="28" t="inlineStr">
        <is>
          <t>Total Schächte</t>
        </is>
      </c>
      <c r="B23" s="2" t="n"/>
      <c r="C23" s="29">
        <f>COUNTA('Schaechte'!$C$27:$C$5000)</f>
        <v/>
      </c>
      <c r="D23" s="28" t="inlineStr">
        <is>
          <t>Total</t>
        </is>
      </c>
      <c r="E23" s="2" t="n"/>
      <c r="F23" s="29">
        <f>COUNTA('Schaechte'!$B$27:$B$5000)</f>
        <v/>
      </c>
      <c r="G23" s="28" t="inlineStr">
        <is>
          <t>Kosten total</t>
        </is>
      </c>
      <c r="H23" s="2" t="n"/>
      <c r="I23" s="30">
        <f>SUM('Schaechte'!$I$27:$I$5000)</f>
        <v/>
      </c>
      <c r="J23" s="31" t="inlineStr">
        <is>
          <t>Total</t>
        </is>
      </c>
      <c r="K23" s="29">
        <f>COUNTA('Schaechte'!$J$27:$J$5000)</f>
        <v/>
      </c>
      <c r="L23" s="31" t="inlineStr">
        <is>
          <t>Total</t>
        </is>
      </c>
      <c r="M23" s="29">
        <f>COUNTA('Schaechte'!$C$27:$C$5000)</f>
        <v/>
      </c>
      <c r="N23" s="31" t="inlineStr">
        <is>
          <t>Abdeckungen Stk.</t>
        </is>
      </c>
      <c r="O23" s="29">
        <f>SUM('Schaechte'!$N$27:$N$5000)</f>
        <v/>
      </c>
      <c r="P23" s="31" t="inlineStr">
        <is>
          <t>Total</t>
        </is>
      </c>
      <c r="Q23" s="29">
        <f>COUNTA('Schaechte'!$C$27:$C$5000)</f>
        <v/>
      </c>
    </row>
    <row r="24" ht="26" customHeight="1">
      <c r="A24" s="32" t="inlineStr">
        <is>
          <t>Aktuelle Auswahl</t>
        </is>
      </c>
      <c r="B24" s="32" t="n"/>
      <c r="C24" s="33">
        <f>SUBTOTAL(103,$A$27:$A$5000)</f>
        <v/>
      </c>
      <c r="D24" s="32" t="n"/>
      <c r="E24" s="34" t="n"/>
      <c r="F24" s="32" t="n"/>
      <c r="G24" s="32" t="inlineStr">
        <is>
          <t>Kosten CHF</t>
        </is>
      </c>
      <c r="H24" s="35">
        <f>SUBTOTAL(109,$I$27:$I$5000)</f>
        <v/>
      </c>
    </row>
    <row r="25" ht="30" customHeight="1">
      <c r="A25" s="36" t="inlineStr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8" t="inlineStr">
        <is>
          <t>Ausmass</t>
        </is>
      </c>
      <c r="O25" s="39" t="n"/>
      <c r="P25" s="38" t="inlineStr">
        <is>
          <t>Status</t>
        </is>
      </c>
      <c r="Q25" s="39" t="n"/>
    </row>
    <row r="26" ht="34" customHeight="1">
      <c r="A26" s="40" t="inlineStr">
        <is>
          <t>NR.</t>
        </is>
      </c>
      <c r="B26" s="40" t="inlineStr">
        <is>
          <t>Funktion</t>
        </is>
      </c>
      <c r="C26" s="40" t="inlineStr">
        <is>
          <t>Schachtnummer</t>
        </is>
      </c>
      <c r="D26" s="40" t="inlineStr">
        <is>
          <t>Strasse</t>
        </is>
      </c>
      <c r="E26" s="40" t="inlineStr">
        <is>
          <t>Primäre Schäden</t>
        </is>
      </c>
      <c r="F26" s="40" t="inlineStr">
        <is>
          <t>Zustandsklasse</t>
        </is>
      </c>
      <c r="G26" s="40" t="inlineStr">
        <is>
          <t>Ja/Nein</t>
        </is>
      </c>
      <c r="H26" s="40" t="inlineStr">
        <is>
          <t>Massnahmen</t>
        </is>
      </c>
      <c r="I26" s="40" t="inlineStr">
        <is>
          <t>Kosten</t>
        </is>
      </c>
      <c r="J26" s="40" t="inlineStr">
        <is>
          <t>Eigentümer</t>
        </is>
      </c>
      <c r="K26" s="40" t="inlineStr">
        <is>
          <t>Ausgeführt durch</t>
        </is>
      </c>
      <c r="L26" s="40" t="inlineStr">
        <is>
          <t>Bemerkungen</t>
        </is>
      </c>
      <c r="M26" s="40" t="inlineStr">
        <is>
          <t>Link</t>
        </is>
      </c>
      <c r="N26" s="40" t="inlineStr">
        <is>
          <t>Abdeckung Stk.</t>
        </is>
      </c>
      <c r="O26" s="40" t="inlineStr">
        <is>
          <t>Belastungsklasse</t>
        </is>
      </c>
      <c r="P26" s="40" t="inlineStr">
        <is>
          <t>Status
offen/abgeschlossen</t>
        </is>
      </c>
      <c r="Q26" s="40" t="inlineStr">
        <is>
          <t>Ausführung
Datum/Jahr</t>
        </is>
      </c>
    </row>
    <row r="27" ht="30" customHeight="1">
      <c r="A27" s="41" t="n"/>
      <c r="B27" s="42" t="n"/>
      <c r="C27" s="41" t="n"/>
      <c r="D27" s="42" t="n"/>
      <c r="E27" s="43" t="n"/>
      <c r="F27" s="41" t="n"/>
      <c r="G27" s="41" t="n"/>
      <c r="H27" s="43" t="n"/>
      <c r="I27" s="44" t="n"/>
      <c r="J27" s="41" t="n"/>
      <c r="K27" s="41" t="n"/>
      <c r="L27" s="43" t="n"/>
      <c r="M27" s="45" t="n"/>
      <c r="N27" s="46" t="n"/>
      <c r="O27" s="41" t="n"/>
      <c r="P27" s="41" t="n"/>
      <c r="Q27" s="41" t="n"/>
    </row>
  </sheetData>
  <autoFilter ref="A26:Q5000"/>
  <mergeCells count="30">
    <mergeCell ref="A24:B24"/>
    <mergeCell ref="B7:C7"/>
    <mergeCell ref="D19:E19"/>
    <mergeCell ref="L16:M16"/>
    <mergeCell ref="N16:O16"/>
    <mergeCell ref="N25:O25"/>
    <mergeCell ref="P25:Q25"/>
    <mergeCell ref="G23:H23"/>
    <mergeCell ref="G17:H17"/>
    <mergeCell ref="D16:F16"/>
    <mergeCell ref="A5:C5"/>
    <mergeCell ref="G19:H19"/>
    <mergeCell ref="A18:B18"/>
    <mergeCell ref="G18:H18"/>
    <mergeCell ref="D17:E17"/>
    <mergeCell ref="B8:C8"/>
    <mergeCell ref="G16:I16"/>
    <mergeCell ref="A21:B21"/>
    <mergeCell ref="J16:K16"/>
    <mergeCell ref="P16:Q16"/>
    <mergeCell ref="D18:E18"/>
    <mergeCell ref="A23:B23"/>
    <mergeCell ref="A17:B17"/>
    <mergeCell ref="B9:C9"/>
    <mergeCell ref="A25:M25"/>
    <mergeCell ref="A20:B20"/>
    <mergeCell ref="B6:C6"/>
    <mergeCell ref="A19:B19"/>
    <mergeCell ref="D23:E23"/>
    <mergeCell ref="A16:C16"/>
  </mergeCells>
  <conditionalFormatting sqref="A27:A5000">
    <cfRule type="expression" priority="1" dxfId="0" stopIfTrue="1">
      <formula>$K27="Abwasser Uri"</formula>
    </cfRule>
    <cfRule type="expression" priority="2" dxfId="1" stopIfTrue="1">
      <formula>$K27="Kanalsanierer"</formula>
    </cfRule>
    <cfRule type="expression" priority="3" dxfId="2" stopIfTrue="1">
      <formula>$K27="Baumeister"</formula>
    </cfRule>
    <cfRule type="expression" priority="4" dxfId="3" stopIfTrue="1">
      <formula>$K27="Gartenbauer"</formula>
    </cfRule>
  </conditionalFormatting>
  <conditionalFormatting sqref="K27:K5000">
    <cfRule type="expression" priority="5" dxfId="0" stopIfTrue="1">
      <formula>$K27="Abwasser Uri"</formula>
    </cfRule>
    <cfRule type="expression" priority="6" dxfId="1" stopIfTrue="1">
      <formula>$K27="Kanalsanierer"</formula>
    </cfRule>
    <cfRule type="expression" priority="7" dxfId="2" stopIfTrue="1">
      <formula>$K27="Baumeister"</formula>
    </cfRule>
    <cfRule type="expression" priority="8" dxfId="3" stopIfTrue="1">
      <formula>$K27="Gartenbauer"</formula>
    </cfRule>
  </conditionalFormatting>
  <conditionalFormatting sqref="F27:F5000">
    <cfRule type="expression" priority="9" dxfId="4" stopIfTrue="1">
      <formula>AND($F27&lt;&gt;"",OR($F27=0,$F27="0"))</formula>
    </cfRule>
    <cfRule type="expression" priority="10" dxfId="5" stopIfTrue="1">
      <formula>AND($F27&lt;&gt;"",OR($F27=1,$F27="1"))</formula>
    </cfRule>
    <cfRule type="expression" priority="11" dxfId="6" stopIfTrue="1">
      <formula>AND($F27&lt;&gt;"",OR($F27=2,$F27="2"))</formula>
    </cfRule>
    <cfRule type="expression" priority="12" dxfId="7" stopIfTrue="1">
      <formula>AND($F27&lt;&gt;"",OR($F27=3,$F27="3"))</formula>
    </cfRule>
    <cfRule type="expression" priority="13" dxfId="8" stopIfTrue="1">
      <formula>AND($F27&lt;&gt;"",OR($F27=4,$F27="4"))</formula>
    </cfRule>
  </conditionalFormatting>
  <conditionalFormatting sqref="G27:G5000">
    <cfRule type="expression" priority="14" dxfId="8" stopIfTrue="1">
      <formula>$G27="Ja"</formula>
    </cfRule>
    <cfRule type="expression" priority="15" dxfId="9" stopIfTrue="1">
      <formula>$G27="Nein"</formula>
    </cfRule>
  </conditionalFormatting>
  <conditionalFormatting sqref="J27:J5000">
    <cfRule type="expression" priority="16" dxfId="0" stopIfTrue="1">
      <formula>$J27="Abwasser Uri"</formula>
    </cfRule>
    <cfRule type="expression" priority="17" dxfId="0" stopIfTrue="1">
      <formula>$J27="AWU"</formula>
    </cfRule>
    <cfRule type="expression" priority="18" dxfId="0" stopIfTrue="1">
      <formula>$J27="AWU_von_oeffentlich"</formula>
    </cfRule>
    <cfRule type="expression" priority="19" dxfId="0" stopIfTrue="1">
      <formula>$J27="AWU_von_oeffentlich (Abwasserverband)"</formula>
    </cfRule>
    <cfRule type="expression" priority="20" dxfId="0" stopIfTrue="1">
      <formula>$J27="AWU_von_privat"</formula>
    </cfRule>
    <cfRule type="expression" priority="21" dxfId="0" stopIfTrue="1">
      <formula>$J27="AWU_von_privat (Abwasserverband)"</formula>
    </cfRule>
    <cfRule type="expression" priority="22" dxfId="6" stopIfTrue="1">
      <formula>$J27="Kanton Uri"</formula>
    </cfRule>
    <cfRule type="expression" priority="23" dxfId="6" stopIfTrue="1">
      <formula>$J27="Kanton"</formula>
    </cfRule>
    <cfRule type="expression" priority="24" dxfId="6" stopIfTrue="1">
      <formula>$J27="Kanton Uri (Kanton)"</formula>
    </cfRule>
    <cfRule type="expression" priority="25" dxfId="10" stopIfTrue="1">
      <formula>$J27="Bund"</formula>
    </cfRule>
    <cfRule type="expression" priority="26" dxfId="10" stopIfTrue="1">
      <formula>$J27="Bund Astra"</formula>
    </cfRule>
    <cfRule type="expression" priority="27" dxfId="10" stopIfTrue="1">
      <formula>$J27="Bund Astra (Bund)"</formula>
    </cfRule>
    <cfRule type="expression" priority="28" dxfId="10" stopIfTrue="1">
      <formula>$J27="Bund (Bund)"</formula>
    </cfRule>
    <cfRule type="expression" priority="29" dxfId="2" stopIfTrue="1">
      <formula>$J27="Gemeinde"</formula>
    </cfRule>
    <cfRule type="expression" priority="30" dxfId="2" stopIfTrue="1">
      <formula>$J27="Altdorf"</formula>
    </cfRule>
    <cfRule type="expression" priority="31" dxfId="2" stopIfTrue="1">
      <formula>$J27="Altdorf (Gemeinde)"</formula>
    </cfRule>
    <cfRule type="expression" priority="32" dxfId="2" stopIfTrue="1">
      <formula>$J27="Bürglen"</formula>
    </cfRule>
    <cfRule type="expression" priority="33" dxfId="2" stopIfTrue="1">
      <formula>$J27="Bürglen (Gemeinde)"</formula>
    </cfRule>
    <cfRule type="expression" priority="34" dxfId="2" stopIfTrue="1">
      <formula>$J27="Schattdorf"</formula>
    </cfRule>
    <cfRule type="expression" priority="35" dxfId="2" stopIfTrue="1">
      <formula>$J27="Schattdorf (Gemeinde)"</formula>
    </cfRule>
    <cfRule type="expression" priority="36" dxfId="2" stopIfTrue="1">
      <formula>$J27="Andermatt"</formula>
    </cfRule>
    <cfRule type="expression" priority="37" dxfId="2" stopIfTrue="1">
      <formula>$J27="Andermatt (Gemeinde)"</formula>
    </cfRule>
    <cfRule type="expression" priority="38" dxfId="2" stopIfTrue="1">
      <formula>$J27="Attinghausen"</formula>
    </cfRule>
    <cfRule type="expression" priority="39" dxfId="2" stopIfTrue="1">
      <formula>$J27="Attinghausen (Gemeinde)"</formula>
    </cfRule>
    <cfRule type="expression" priority="40" dxfId="2" stopIfTrue="1">
      <formula>$J27="Erstfeld"</formula>
    </cfRule>
    <cfRule type="expression" priority="41" dxfId="2" stopIfTrue="1">
      <formula>$J27="Erstfeld (Gemeinde)"</formula>
    </cfRule>
    <cfRule type="expression" priority="42" dxfId="2" stopIfTrue="1">
      <formula>$J27="Flüelen"</formula>
    </cfRule>
    <cfRule type="expression" priority="43" dxfId="2" stopIfTrue="1">
      <formula>$J27="Flüelen (Gemeinde)"</formula>
    </cfRule>
    <cfRule type="expression" priority="44" dxfId="2" stopIfTrue="1">
      <formula>$J27="Göschenen"</formula>
    </cfRule>
    <cfRule type="expression" priority="45" dxfId="2" stopIfTrue="1">
      <formula>$J27="Göschenen (Gemeinde)"</formula>
    </cfRule>
    <cfRule type="expression" priority="46" dxfId="2" stopIfTrue="1">
      <formula>$J27="Gurtnellen"</formula>
    </cfRule>
    <cfRule type="expression" priority="47" dxfId="2" stopIfTrue="1">
      <formula>$J27="Gurtnellen (Gemeinde)"</formula>
    </cfRule>
    <cfRule type="expression" priority="48" dxfId="2" stopIfTrue="1">
      <formula>$J27="Hospental"</formula>
    </cfRule>
    <cfRule type="expression" priority="49" dxfId="2" stopIfTrue="1">
      <formula>$J27="Hospental (Gemeinde)"</formula>
    </cfRule>
    <cfRule type="expression" priority="50" dxfId="2" stopIfTrue="1">
      <formula>$J27="Isenthal"</formula>
    </cfRule>
    <cfRule type="expression" priority="51" dxfId="2" stopIfTrue="1">
      <formula>$J27="Isenthal (Gemeinde)"</formula>
    </cfRule>
    <cfRule type="expression" priority="52" dxfId="2" stopIfTrue="1">
      <formula>$J27="Realp"</formula>
    </cfRule>
    <cfRule type="expression" priority="53" dxfId="2" stopIfTrue="1">
      <formula>$J27="Realp (Gemeinde)"</formula>
    </cfRule>
    <cfRule type="expression" priority="54" dxfId="2" stopIfTrue="1">
      <formula>$J27="Seedorf"</formula>
    </cfRule>
    <cfRule type="expression" priority="55" dxfId="2" stopIfTrue="1">
      <formula>$J27="Seedorf (Gemeinde)"</formula>
    </cfRule>
    <cfRule type="expression" priority="56" dxfId="2" stopIfTrue="1">
      <formula>$J27="Seelisberg"</formula>
    </cfRule>
    <cfRule type="expression" priority="57" dxfId="2" stopIfTrue="1">
      <formula>$J27="Seelisberg (Gemeinde)"</formula>
    </cfRule>
    <cfRule type="expression" priority="58" dxfId="2" stopIfTrue="1">
      <formula>$J27="Silenen"</formula>
    </cfRule>
    <cfRule type="expression" priority="59" dxfId="2" stopIfTrue="1">
      <formula>$J27="Silenen (Gemeinde)"</formula>
    </cfRule>
    <cfRule type="expression" priority="60" dxfId="2" stopIfTrue="1">
      <formula>$J27="Sisikon"</formula>
    </cfRule>
    <cfRule type="expression" priority="61" dxfId="2" stopIfTrue="1">
      <formula>$J27="Sisikon (Gemeinde)"</formula>
    </cfRule>
    <cfRule type="expression" priority="62" dxfId="2" stopIfTrue="1">
      <formula>$J27="Spiringen"</formula>
    </cfRule>
    <cfRule type="expression" priority="63" dxfId="2" stopIfTrue="1">
      <formula>$J27="Spiringen (Gemeinde)"</formula>
    </cfRule>
    <cfRule type="expression" priority="64" dxfId="2" stopIfTrue="1">
      <formula>$J27="Unterschächen"</formula>
    </cfRule>
    <cfRule type="expression" priority="65" dxfId="2" stopIfTrue="1">
      <formula>$J27="Unterschächen (Gemeinde)"</formula>
    </cfRule>
    <cfRule type="expression" priority="66" dxfId="2" stopIfTrue="1">
      <formula>$J27="Wassen"</formula>
    </cfRule>
    <cfRule type="expression" priority="67" dxfId="2" stopIfTrue="1">
      <formula>$J27="Wassen (Gemeinde)"</formula>
    </cfRule>
    <cfRule type="expression" priority="68" dxfId="4" stopIfTrue="1">
      <formula>$J27="Privat"</formula>
    </cfRule>
    <cfRule type="expression" priority="69" dxfId="4" stopIfTrue="1">
      <formula>$J27="Privat (Privat)"</formula>
    </cfRule>
    <cfRule type="expression" priority="70" dxfId="4" stopIfTrue="1">
      <formula>$J27="RUAG"</formula>
    </cfRule>
    <cfRule type="expression" priority="71" dxfId="4" stopIfTrue="1">
      <formula>$J27="RUAG (Privat)"</formula>
    </cfRule>
  </conditionalFormatting>
  <conditionalFormatting sqref="P27:P5000">
    <cfRule type="expression" priority="72" dxfId="4" stopIfTrue="1">
      <formula>$P27="offen"</formula>
    </cfRule>
    <cfRule type="expression" priority="73" dxfId="11" stopIfTrue="1">
      <formula>$P27="abgeschlossen"</formula>
    </cfRule>
  </conditionalFormatting>
  <conditionalFormatting sqref="A27:Q5000">
    <cfRule type="expression" priority="74" dxfId="12">
      <formula>MOD(ROW(),2)=0</formula>
    </cfRule>
  </conditionalFormatting>
  <printOptions horizontalCentered="1"/>
  <pageMargins left="0.25" right="0.25" top="0.4" bottom="0.4" header="0.15" footer="0.15"/>
  <pageSetup orientation="landscape" paperSize="8" fitToHeight="0" fitToWidth="1"/>
  <headerFooter>
    <oddHeader/>
    <oddFooter>&amp;L&amp;8 &amp;F&amp;R&amp;8 Seite &amp;P von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2026-09-24T11:32:05Z</dcterms:created>
  <dcterms:modified xsi:type="dcterms:W3CDTF">2026-09-24T11:32:05Z</dcterms:modified>
</cp:coreProperties>
</file>